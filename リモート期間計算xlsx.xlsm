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owa365-my.sharepoint.com/personal/maedat5_dowa_co_jp/Documents/デスクトップ/"/>
    </mc:Choice>
  </mc:AlternateContent>
  <xr:revisionPtr revIDLastSave="1356" documentId="13_ncr:1_{60D5B3A0-E409-47B6-9D2E-FBA2DC1CF6F6}" xr6:coauthVersionLast="47" xr6:coauthVersionMax="47" xr10:uidLastSave="{2290E9E4-AB8F-4B33-9E96-C981CE907945}"/>
  <bookViews>
    <workbookView xWindow="-108" yWindow="-108" windowWidth="23256" windowHeight="12456" xr2:uid="{681043B5-0530-452D-907A-FFFA48892B47}"/>
  </bookViews>
  <sheets>
    <sheet name="貼付" sheetId="5" r:id="rId1"/>
    <sheet name="Sheet1" sheetId="1" r:id="rId2"/>
    <sheet name="社員名" sheetId="2" r:id="rId3"/>
    <sheet name="Sheet3" sheetId="3" r:id="rId4"/>
    <sheet name="Sheet4" sheetId="4" r:id="rId5"/>
    <sheet name="Sheet1 (2)" sheetId="6" r:id="rId6"/>
  </sheets>
  <definedNames>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 l="1"/>
  <c r="U17" i="4"/>
  <c r="U18" i="4" s="1"/>
  <c r="U19" i="4" s="1"/>
  <c r="Z22" i="4"/>
  <c r="V16" i="4"/>
  <c r="P7" i="4"/>
  <c r="O32" i="4" s="1"/>
  <c r="J6" i="5"/>
  <c r="I6" i="5"/>
  <c r="H6" i="5"/>
  <c r="C6" i="5"/>
  <c r="D7" i="5"/>
  <c r="C7" i="5"/>
  <c r="B7" i="5"/>
  <c r="Q16" i="4"/>
  <c r="Q17" i="4" s="1"/>
  <c r="Q18" i="4" s="1"/>
  <c r="Q20" i="4" s="1"/>
  <c r="C12" i="5"/>
  <c r="D12" i="5"/>
  <c r="E12" i="5"/>
  <c r="G13" i="5"/>
  <c r="B26"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D35" i="1" l="1"/>
  <c r="AA18" i="4"/>
  <c r="Y18" i="4"/>
  <c r="D18" i="4"/>
  <c r="J16" i="4"/>
  <c r="E18" i="4"/>
  <c r="G12" i="5"/>
  <c r="B28" i="6" s="1"/>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Y21" i="4" l="1"/>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<sst xmlns="http://schemas.openxmlformats.org/spreadsheetml/2006/main" count="688" uniqueCount="546">
  <si>
    <t>today</t>
    <phoneticPr fontId="6"/>
  </si>
  <si>
    <t>start</t>
    <phoneticPr fontId="6"/>
  </si>
  <si>
    <t>end</t>
    <phoneticPr fontId="6"/>
  </si>
  <si>
    <t>period</t>
  </si>
  <si>
    <t>有効期間：</t>
  </si>
  <si>
    <t>100日間</t>
  </si>
  <si>
    <t>有効期限：</t>
  </si>
  <si>
    <t>検索語句</t>
    <rPh sb="0" eb="2">
      <t>ケンサク</t>
    </rPh>
    <rPh sb="2" eb="4">
      <t>ゴク</t>
    </rPh>
    <phoneticPr fontId="6"/>
  </si>
  <si>
    <t>更新貼付</t>
    <rPh sb="0" eb="2">
      <t>コウシン</t>
    </rPh>
    <rPh sb="2" eb="3">
      <t>ハ</t>
    </rPh>
    <rPh sb="3" eb="4">
      <t>ツ</t>
    </rPh>
    <phoneticPr fontId="6"/>
  </si>
  <si>
    <t>氏名</t>
  </si>
  <si>
    <r>
      <rPr>
        <sz val="11"/>
        <color rgb="FFFF0000"/>
        <rFont val="Yu Gothic UI"/>
        <family val="3"/>
        <charset val="128"/>
      </rPr>
      <t>更新後</t>
    </r>
    <r>
      <rPr>
        <sz val="11"/>
        <color theme="1"/>
        <rFont val="Yu Gothic UI"/>
        <family val="2"/>
        <charset val="128"/>
      </rPr>
      <t>の有効期限</t>
    </r>
    <phoneticPr fontId="6"/>
  </si>
  <si>
    <t>有効期間</t>
  </si>
  <si>
    <t>おつかれさまです。</t>
    <phoneticPr fontId="6"/>
  </si>
  <si>
    <t>有効期限が更新された利用者：</t>
  </si>
  <si>
    <t>更新後の有効期限</t>
  </si>
  <si>
    <t>2025年 1月 4日</t>
    <phoneticPr fontId="6"/>
  </si>
  <si>
    <t>2025年 3月 7日</t>
  </si>
  <si>
    <t>2025年 1月 4日</t>
  </si>
  <si>
    <t>万の位</t>
    <rPh sb="0" eb="1">
      <t>マン</t>
    </rPh>
    <rPh sb="2" eb="3">
      <t>クライ</t>
    </rPh>
    <phoneticPr fontId="6"/>
  </si>
  <si>
    <t>千の位</t>
    <rPh sb="0" eb="1">
      <t>セン</t>
    </rPh>
    <rPh sb="2" eb="3">
      <t>クライ</t>
    </rPh>
    <phoneticPr fontId="6"/>
  </si>
  <si>
    <t>スケジュール</t>
    <phoneticPr fontId="6"/>
  </si>
  <si>
    <t>※メールアドレスに伴うリモートアクセスの設定変更はございません。</t>
    <rPh sb="9" eb="10">
      <t>トモナ</t>
    </rPh>
    <rPh sb="20" eb="22">
      <t>セッテイ</t>
    </rPh>
    <rPh sb="22" eb="24">
      <t>ヘンコウ</t>
    </rPh>
    <phoneticPr fontId="6"/>
  </si>
  <si>
    <t>ワークフロー</t>
    <phoneticPr fontId="6"/>
  </si>
  <si>
    <t>※IDパスがお忘れの場合もこちらのアカウントにご連絡お願いします。</t>
    <rPh sb="7" eb="8">
      <t>ワス</t>
    </rPh>
    <rPh sb="10" eb="12">
      <t>バアイ</t>
    </rPh>
    <rPh sb="24" eb="26">
      <t>レンラク</t>
    </rPh>
    <rPh sb="27" eb="28">
      <t>ネガ</t>
    </rPh>
    <phoneticPr fontId="6"/>
  </si>
  <si>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</si>
  <si>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6"/>
  </si>
  <si>
    <t>BeatAccess IDの送付について</t>
    <phoneticPr fontId="6"/>
  </si>
  <si>
    <t>DTEシステム室受付窓口 前田です。</t>
    <rPh sb="13" eb="15">
      <t>マエダ</t>
    </rPh>
    <phoneticPr fontId="6"/>
  </si>
  <si>
    <t>このIDは、BeatAccessのサービスご利用とにサイトログインする際に必要となりますので、</t>
    <rPh sb="22" eb="24">
      <t>リヨウ</t>
    </rPh>
    <phoneticPr fontId="6"/>
  </si>
  <si>
    <t>大切に保管してください。また、セキュリティのため、他人と共有しないようお願いいたします。</t>
    <rPh sb="0" eb="1">
      <t>ダイ</t>
    </rPh>
    <phoneticPr fontId="6"/>
  </si>
  <si>
    <t>よろしくお願いいたします。</t>
    <phoneticPr fontId="6"/>
  </si>
  <si>
    <t>DTEシステム室受付窓口　前田です。</t>
    <rPh sb="13" eb="15">
      <t>マエダ</t>
    </rPh>
    <phoneticPr fontId="6"/>
  </si>
  <si>
    <t>このPASSWORDは、BeatAccessのサービスご利用とにサイトログインする際に必要となりますので、</t>
    <rPh sb="28" eb="30">
      <t>リヨウ</t>
    </rPh>
    <phoneticPr fontId="6"/>
  </si>
  <si>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</si>
  <si>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</si>
  <si>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</si>
  <si>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</si>
  <si>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</si>
  <si>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</si>
  <si>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</si>
  <si>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</si>
  <si>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</si>
  <si>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</si>
  <si>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</si>
  <si>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</si>
  <si>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</si>
  <si>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</si>
  <si>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</si>
  <si>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</si>
  <si>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</si>
  <si>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</si>
  <si>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</si>
  <si>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</si>
  <si>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</si>
  <si>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</si>
  <si>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</si>
  <si>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</si>
  <si>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</si>
  <si>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</si>
  <si>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</si>
  <si>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</si>
  <si>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</si>
  <si>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</si>
  <si>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</si>
  <si>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</si>
  <si>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</si>
  <si>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</si>
  <si>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</si>
  <si>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</si>
  <si>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</si>
  <si>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</si>
  <si>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</si>
  <si>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</si>
  <si>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</si>
  <si>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</si>
  <si>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</si>
  <si>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</si>
  <si>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</si>
  <si>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</si>
  <si>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</si>
  <si>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</si>
  <si>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</si>
  <si>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</si>
  <si>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</si>
  <si>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</si>
  <si>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</si>
  <si>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</si>
  <si>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</si>
  <si>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</si>
  <si>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</si>
  <si>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</si>
  <si>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</si>
  <si>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</si>
  <si>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</si>
  <si>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</si>
  <si>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</si>
  <si>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</si>
  <si>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</si>
  <si>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</si>
  <si>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</si>
  <si>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</si>
  <si>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</si>
  <si>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</si>
  <si>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</si>
  <si>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</si>
  <si>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</si>
  <si>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</si>
  <si>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</si>
  <si>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</si>
  <si>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</si>
  <si>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</si>
  <si>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</si>
  <si>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</si>
  <si>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</si>
  <si>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</si>
  <si>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</si>
  <si>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</si>
  <si>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</si>
  <si>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</si>
  <si>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</si>
  <si>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</si>
  <si>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</si>
  <si>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</si>
  <si>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</si>
  <si>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</si>
  <si>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</si>
  <si>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</si>
  <si>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</si>
  <si>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</si>
  <si>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</si>
  <si>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</si>
  <si>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</si>
  <si>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</si>
  <si>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</si>
  <si>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</si>
  <si>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</si>
  <si>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</si>
  <si>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</si>
  <si>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</si>
  <si>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</si>
  <si>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</si>
  <si>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</si>
  <si>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</si>
  <si>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</si>
  <si>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</si>
  <si>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</si>
  <si>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</si>
  <si>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</si>
  <si>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</si>
  <si>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</si>
  <si>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</si>
  <si>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</si>
  <si>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</si>
  <si>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</si>
  <si>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</si>
  <si>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</si>
  <si>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</si>
  <si>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</si>
  <si>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</si>
  <si>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</si>
  <si>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</si>
  <si>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</si>
  <si>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</si>
  <si>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</si>
  <si>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</si>
  <si>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</si>
  <si>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</si>
  <si>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</si>
  <si>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</si>
  <si>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</si>
  <si>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</si>
  <si>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</si>
  <si>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6"/>
  </si>
  <si>
    <t>100日未満</t>
    <rPh sb="3" eb="4">
      <t>ニチ</t>
    </rPh>
    <rPh sb="4" eb="6">
      <t>ミマン</t>
    </rPh>
    <phoneticPr fontId="6"/>
  </si>
  <si>
    <t>2025年 8月20日</t>
  </si>
  <si>
    <t>新規分割</t>
    <rPh sb="0" eb="2">
      <t>シンキ</t>
    </rPh>
    <rPh sb="2" eb="4">
      <t>ブンカツ</t>
    </rPh>
    <phoneticPr fontId="6"/>
  </si>
  <si>
    <t>新規一本</t>
    <rPh sb="0" eb="2">
      <t>シンキ</t>
    </rPh>
    <rPh sb="2" eb="4">
      <t>イッポン</t>
    </rPh>
    <phoneticPr fontId="6"/>
  </si>
  <si>
    <t>１＝新規(列記）</t>
    <rPh sb="2" eb="4">
      <t>シンキ</t>
    </rPh>
    <rPh sb="5" eb="7">
      <t>レッキ</t>
    </rPh>
    <phoneticPr fontId="6"/>
  </si>
  <si>
    <t>２＝新規(分割）</t>
    <rPh sb="2" eb="4">
      <t>シンキ</t>
    </rPh>
    <rPh sb="5" eb="7">
      <t>ブンカツ</t>
    </rPh>
    <phoneticPr fontId="6"/>
  </si>
  <si>
    <t>０＝延長</t>
    <rPh sb="2" eb="4">
      <t>エンチョウ</t>
    </rPh>
    <phoneticPr fontId="6"/>
  </si>
  <si>
    <t>取得数</t>
    <rPh sb="0" eb="2">
      <t>シュトク</t>
    </rPh>
    <rPh sb="2" eb="3">
      <t>スウ</t>
    </rPh>
    <phoneticPr fontId="6"/>
  </si>
  <si>
    <t>直線入力</t>
    <rPh sb="0" eb="2">
      <t>チョクセン</t>
    </rPh>
    <rPh sb="2" eb="4">
      <t>ニュウリョク</t>
    </rPh>
    <phoneticPr fontId="6"/>
  </si>
  <si>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</si>
  <si>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</si>
  <si>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</si>
  <si>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</si>
  <si>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</si>
  <si>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</si>
  <si>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</si>
  <si>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</si>
  <si>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</si>
  <si>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</si>
  <si>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</si>
  <si>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</si>
  <si>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</si>
  <si>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</si>
  <si>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</si>
  <si>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</si>
  <si>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</si>
  <si>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</si>
  <si>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</si>
  <si>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</si>
  <si>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</si>
  <si>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</si>
  <si>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</si>
  <si>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</si>
  <si>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</si>
  <si>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</si>
  <si>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</si>
  <si>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</si>
  <si>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</si>
  <si>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</si>
  <si>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</si>
  <si>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</si>
  <si>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</si>
  <si>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</si>
  <si>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</si>
  <si>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</si>
  <si>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</si>
  <si>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</si>
  <si>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</si>
  <si>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</si>
  <si>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</si>
  <si>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</si>
  <si>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</si>
  <si>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</si>
  <si>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</si>
  <si>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</si>
  <si>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</si>
  <si>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</si>
  <si>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</si>
  <si>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</si>
  <si>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</si>
  <si>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</si>
  <si>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</si>
  <si>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</si>
  <si>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</si>
  <si>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</si>
  <si>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</si>
  <si>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</si>
  <si>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</si>
  <si>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</si>
  <si>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</si>
  <si>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</si>
  <si>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</si>
  <si>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</si>
  <si>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</si>
  <si>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</si>
  <si>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</si>
  <si>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</si>
  <si>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</si>
  <si>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</si>
  <si>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</si>
  <si>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</si>
  <si>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</si>
  <si>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</si>
  <si>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</si>
  <si>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</si>
  <si>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</si>
  <si>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</si>
  <si>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</si>
  <si>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</si>
  <si>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</si>
  <si>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</si>
  <si>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</si>
  <si>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</si>
  <si>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</si>
  <si>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</si>
  <si>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</si>
  <si>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</si>
  <si>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</si>
  <si>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</si>
  <si>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</si>
  <si>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</si>
  <si>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</si>
  <si>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</si>
  <si>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</si>
  <si>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</si>
  <si>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</si>
  <si>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</si>
  <si>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</si>
  <si>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</si>
  <si>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</si>
  <si>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</si>
  <si>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</si>
  <si>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</si>
  <si>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</si>
  <si>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</si>
  <si>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</si>
  <si>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</si>
  <si>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</si>
  <si>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</si>
  <si>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</si>
  <si>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</si>
  <si>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</si>
  <si>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</si>
  <si>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</si>
  <si>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</si>
  <si>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</si>
  <si>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</si>
  <si>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</si>
  <si>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</si>
  <si>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</si>
  <si>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</si>
  <si>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</si>
  <si>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</si>
  <si>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</si>
  <si>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</si>
  <si>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</si>
  <si>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</si>
  <si>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</si>
  <si>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</si>
  <si>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</si>
  <si>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</si>
  <si>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</si>
  <si>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</si>
  <si>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</si>
  <si>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</si>
  <si>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</si>
  <si>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</si>
  <si>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</si>
  <si>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</si>
  <si>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</si>
  <si>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</si>
  <si>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</si>
  <si>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</si>
  <si>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</si>
  <si>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</si>
  <si>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</si>
  <si>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</si>
  <si>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</si>
  <si>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</si>
  <si>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</si>
  <si>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</si>
  <si>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</si>
  <si>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</si>
  <si>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</si>
  <si>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</si>
  <si>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</si>
  <si>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</si>
  <si>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</si>
  <si>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</si>
  <si>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</si>
  <si>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</si>
  <si>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</si>
  <si>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</si>
  <si>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</si>
  <si>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</si>
  <si>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</si>
  <si>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</si>
  <si>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</si>
  <si>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</si>
  <si>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</si>
  <si>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</si>
  <si>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</si>
  <si>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</si>
  <si>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</si>
  <si>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</si>
  <si>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</si>
  <si>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</si>
  <si>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</si>
  <si>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</si>
  <si>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</si>
  <si>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</si>
  <si>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</si>
  <si>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</si>
  <si>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</si>
  <si>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</si>
  <si>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</si>
  <si>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</si>
  <si>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</si>
  <si>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</si>
  <si>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</si>
  <si>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</si>
  <si>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</si>
  <si>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</si>
  <si>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</si>
  <si>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</si>
  <si>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</si>
  <si>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</si>
  <si>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</si>
  <si>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</si>
  <si>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</si>
  <si>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</si>
  <si>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6"/>
  </si>
  <si>
    <t>中村 瑞樹</t>
  </si>
  <si>
    <t>氏名：加茂 直人有効期間：100日間有効期限：2026年 1月18日</t>
  </si>
  <si>
    <t>Midjourney</t>
    <phoneticPr fontId="6"/>
  </si>
  <si>
    <t>heyGen</t>
    <phoneticPr fontId="6"/>
  </si>
  <si>
    <t>DistroKid</t>
    <phoneticPr fontId="6"/>
  </si>
  <si>
    <t>Kint</t>
    <phoneticPr fontId="6"/>
  </si>
  <si>
    <t>Pollo.ai</t>
    <phoneticPr fontId="6"/>
  </si>
  <si>
    <t>ChatGPT</t>
    <phoneticPr fontId="6"/>
  </si>
  <si>
    <t>AEONMobile</t>
    <phoneticPr fontId="6"/>
  </si>
  <si>
    <t>YouTubePremimum</t>
    <phoneticPr fontId="6"/>
  </si>
  <si>
    <t>suno</t>
    <phoneticPr fontId="6"/>
  </si>
  <si>
    <t>三井</t>
    <rPh sb="0" eb="2">
      <t>ミツイ</t>
    </rPh>
    <phoneticPr fontId="6"/>
  </si>
  <si>
    <t>PAYPAY</t>
    <phoneticPr fontId="6"/>
  </si>
  <si>
    <t>トマト</t>
    <phoneticPr fontId="6"/>
  </si>
  <si>
    <t>ゆうちょ</t>
    <phoneticPr fontId="6"/>
  </si>
  <si>
    <t>みずほ</t>
    <phoneticPr fontId="6"/>
  </si>
  <si>
    <t>SMBC</t>
    <phoneticPr fontId="6"/>
  </si>
  <si>
    <t>確定拠出年金</t>
    <rPh sb="0" eb="4">
      <t>カクテイキョシュツ</t>
    </rPh>
    <rPh sb="4" eb="6">
      <t>ネンキン</t>
    </rPh>
    <phoneticPr fontId="6"/>
  </si>
  <si>
    <t>家賃</t>
    <rPh sb="0" eb="2">
      <t>ヤチン</t>
    </rPh>
    <phoneticPr fontId="6"/>
  </si>
  <si>
    <t>seikyouONLINE</t>
    <phoneticPr fontId="6"/>
  </si>
  <si>
    <t>Ｍｉｃｒｏｓｏｆｔ</t>
  </si>
  <si>
    <t>KONAMI</t>
    <phoneticPr fontId="6"/>
  </si>
  <si>
    <t>エックスモバイル</t>
    <phoneticPr fontId="6"/>
  </si>
  <si>
    <t>Ａｍａｚｏｎプライム会費</t>
  </si>
  <si>
    <t>★</t>
    <phoneticPr fontId="6"/>
  </si>
  <si>
    <t>マネ－フォワ－ドクラウド</t>
  </si>
  <si>
    <t>まぐまぐ！</t>
  </si>
  <si>
    <t>中島</t>
    <rPh sb="0" eb="2">
      <t>ナカジマ</t>
    </rPh>
    <phoneticPr fontId="6"/>
  </si>
  <si>
    <t>ＧＯＯＧＬＥ　＊ＹｏｕＴｕｂｅＰｒｅｍｉ</t>
  </si>
  <si>
    <t>ソフトバンクM</t>
    <phoneticPr fontId="6"/>
  </si>
  <si>
    <t>RADIKO エリアフリー</t>
    <phoneticPr fontId="6"/>
  </si>
  <si>
    <t>ユ－ネクストサ－ビス利用料</t>
  </si>
  <si>
    <t>Ｕ－ＮＥＸＴ</t>
  </si>
  <si>
    <t>SUNO INC. 6017417866</t>
  </si>
  <si>
    <t>OPENAI *CHATGPT SUBSCR 4158799686</t>
  </si>
  <si>
    <t>瀬島 奏音</t>
  </si>
  <si>
    <t>2026年 2月 6日</t>
  </si>
  <si>
    <t>松田 穂優</t>
  </si>
  <si>
    <t>CupCut</t>
    <phoneticPr fontId="6"/>
  </si>
  <si>
    <t>shingo_hama</t>
  </si>
  <si>
    <t>はま　しんご</t>
  </si>
  <si>
    <t>MdH34HJi</t>
  </si>
  <si>
    <t>hamas@dowa.co.jp</t>
  </si>
  <si>
    <t>接続定義ファイルを送付させていただきます。</t>
    <phoneticPr fontId="6"/>
  </si>
  <si>
    <t>事前に接続を確認しておいてください。</t>
    <rPh sb="0" eb="2">
      <t>ジゼン</t>
    </rPh>
    <rPh sb="3" eb="5">
      <t>セツゾク</t>
    </rPh>
    <rPh sb="6" eb="8">
      <t>カクニン</t>
    </rPh>
    <phoneticPr fontId="6"/>
  </si>
  <si>
    <t>新規</t>
    <rPh sb="0" eb="2">
      <t>シンキ</t>
    </rPh>
    <phoneticPr fontId="6"/>
  </si>
  <si>
    <t>■事前接続確認のお願い</t>
    <rPh sb="1" eb="3">
      <t>ジゼン</t>
    </rPh>
    <rPh sb="3" eb="5">
      <t>セツゾク</t>
    </rPh>
    <rPh sb="5" eb="7">
      <t>カクニン</t>
    </rPh>
    <rPh sb="9" eb="10">
      <t>ネガ</t>
    </rPh>
    <phoneticPr fontId="6"/>
  </si>
  <si>
    <t>樽 孝一</t>
  </si>
  <si>
    <t>2026年 4月15日</t>
  </si>
  <si>
    <t>小嵐 愛子</t>
  </si>
  <si>
    <t>2026年 4月25日</t>
  </si>
  <si>
    <t>田中 航</t>
  </si>
  <si>
    <t>Olive クレジットモード</t>
    <phoneticPr fontId="6"/>
  </si>
  <si>
    <t>https://www.fujifilm.com/fb/support/service/beat/tech/ras</t>
    <phoneticPr fontId="6"/>
  </si>
  <si>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6"/>
  </si>
  <si>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</si>
  <si>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</si>
  <si>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</si>
  <si>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</si>
  <si>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</si>
  <si>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</si>
  <si>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</si>
  <si>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</si>
  <si>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</si>
  <si>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</si>
  <si>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</si>
  <si>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</si>
  <si>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</si>
  <si>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</si>
  <si>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</si>
  <si>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</si>
  <si>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</si>
  <si>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5"/>
  </si>
  <si>
    <t xml:space="preserve">	岩渕　多美夫</t>
  </si>
  <si>
    <t>江草 太一</t>
    <rPh sb="0" eb="2">
      <t>エグサ</t>
    </rPh>
    <rPh sb="3" eb="5">
      <t>タイチ</t>
    </rPh>
    <phoneticPr fontId="5"/>
  </si>
  <si>
    <t>濵　晋吾</t>
    <rPh sb="0" eb="1">
      <t>ハマ</t>
    </rPh>
    <rPh sb="2" eb="4">
      <t>シンゴ</t>
    </rPh>
    <phoneticPr fontId="5"/>
  </si>
  <si>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</si>
  <si>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</si>
  <si>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</si>
  <si>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</si>
  <si>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</si>
  <si>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</si>
  <si>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5"/>
  </si>
  <si>
    <t>↓修正、追加時の日付を残すこと</t>
    <rPh sb="1" eb="3">
      <t>シュウセイ</t>
    </rPh>
    <rPh sb="4" eb="6">
      <t>ツイカ</t>
    </rPh>
    <rPh sb="6" eb="7">
      <t>ジ</t>
    </rPh>
    <rPh sb="8" eb="10">
      <t>ヒヅケ</t>
    </rPh>
    <rPh sb="11" eb="12">
      <t>ノコ</t>
    </rPh>
    <phoneticPr fontId="5"/>
  </si>
  <si>
    <t>備考</t>
    <rPh sb="0" eb="2">
      <t>ビコウ</t>
    </rPh>
    <phoneticPr fontId="5"/>
  </si>
  <si>
    <t>2023/12/14　追加</t>
    <rPh sb="11" eb="13">
      <t>ツイカ</t>
    </rPh>
    <phoneticPr fontId="5"/>
  </si>
  <si>
    <t>2024/10追加</t>
    <rPh sb="7" eb="9">
      <t>ツイカ</t>
    </rPh>
    <phoneticPr fontId="5"/>
  </si>
  <si>
    <t>2024/2/9パスワード設定</t>
    <rPh sb="13" eb="15">
      <t>セッテイ</t>
    </rPh>
    <phoneticPr fontId="5"/>
  </si>
  <si>
    <t>2025/7/7：再確認。パスワード不明。</t>
    <rPh sb="9" eb="12">
      <t>サイカクニン</t>
    </rPh>
    <rPh sb="18" eb="20">
      <t>フメイ</t>
    </rPh>
    <phoneticPr fontId="5"/>
  </si>
  <si>
    <t>2023/12/4　追加</t>
    <rPh sb="10" eb="12">
      <t>ツイカ</t>
    </rPh>
    <phoneticPr fontId="5"/>
  </si>
  <si>
    <t>2024/4/3追加</t>
    <rPh sb="8" eb="10">
      <t>ツイカ</t>
    </rPh>
    <phoneticPr fontId="5"/>
  </si>
  <si>
    <t>2025/4/14変更</t>
    <rPh sb="9" eb="11">
      <t>ヘンコウ</t>
    </rPh>
    <phoneticPr fontId="5"/>
  </si>
  <si>
    <t>2024/2/8追加</t>
    <rPh sb="8" eb="10">
      <t>ツイカ</t>
    </rPh>
    <phoneticPr fontId="5"/>
  </si>
  <si>
    <t>2025/8/4追加</t>
    <rPh sb="8" eb="10">
      <t>ツイカ</t>
    </rPh>
    <phoneticPr fontId="5"/>
  </si>
  <si>
    <t>2025/9/8追加</t>
    <rPh sb="8" eb="10">
      <t>ツイカ</t>
    </rPh>
    <phoneticPr fontId="5"/>
  </si>
  <si>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</si>
  <si>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</si>
  <si>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</si>
  <si>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</si>
  <si>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</si>
  <si>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</si>
  <si>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</si>
  <si>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</si>
  <si>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</si>
  <si>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</si>
  <si>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</si>
  <si>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6"/>
  </si>
  <si>
    <t>※スマホのテザリング・ポケットWi-Fi等で事前接続確認をお願いします。</t>
    <rPh sb="20" eb="21">
      <t>トウ</t>
    </rPh>
    <rPh sb="22" eb="24">
      <t>ジゼン</t>
    </rPh>
    <rPh sb="24" eb="26">
      <t>セツゾク</t>
    </rPh>
    <rPh sb="26" eb="28">
      <t>カクニン</t>
    </rPh>
    <rPh sb="30" eb="31">
      <t>ネガ</t>
    </rPh>
    <phoneticPr fontId="6"/>
  </si>
  <si>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6"/>
  </si>
  <si>
    <t>※リモートアクセスが外部（dowatec-wifi以外）からアクセスが前提です。</t>
    <rPh sb="10" eb="12">
      <t>ガイブ</t>
    </rPh>
    <rPh sb="25" eb="27">
      <t>イガイ</t>
    </rPh>
    <rPh sb="35" eb="37">
      <t>ゼンテイ</t>
    </rPh>
    <phoneticPr fontId="6"/>
  </si>
  <si>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</si>
  <si>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</si>
  <si>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</si>
  <si>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</si>
  <si>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</si>
  <si>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</si>
  <si>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</si>
  <si>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</si>
  <si>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</si>
  <si>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</si>
  <si>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</si>
  <si>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</si>
  <si>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</si>
  <si>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6"/>
  </si>
  <si>
    <t>貸与日</t>
    <rPh sb="0" eb="2">
      <t>タイヨ</t>
    </rPh>
    <rPh sb="2" eb="3">
      <t>ビ</t>
    </rPh>
    <phoneticPr fontId="6"/>
  </si>
  <si>
    <t>　　初期設定：DMS手順</t>
    <phoneticPr fontId="6"/>
  </si>
  <si>
    <t>※Desknet's　ログイン必要</t>
    <rPh sb="15" eb="17">
      <t>ヒツヨウ</t>
    </rPh>
    <phoneticPr fontId="6"/>
  </si>
  <si>
    <t>以下の手順に従って、作業を進めてください。</t>
    <rPh sb="0" eb="2">
      <t>イカ</t>
    </rPh>
    <rPh sb="3" eb="5">
      <t>テジュン</t>
    </rPh>
    <rPh sb="6" eb="7">
      <t>シタガ</t>
    </rPh>
    <rPh sb="10" eb="12">
      <t>サギョウ</t>
    </rPh>
    <rPh sb="13" eb="14">
      <t>スス</t>
    </rPh>
    <phoneticPr fontId="6"/>
  </si>
  <si>
    <t>OK04-</t>
    <phoneticPr fontId="6"/>
  </si>
  <si>
    <t>A1</t>
    <phoneticPr fontId="6"/>
  </si>
  <si>
    <t>-PC0</t>
    <phoneticPr fontId="6"/>
  </si>
  <si>
    <t>回収</t>
    <rPh sb="0" eb="2">
      <t>カイシュウ</t>
    </rPh>
    <phoneticPr fontId="6"/>
  </si>
  <si>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6"/>
  </si>
  <si>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6"/>
  </si>
  <si>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</si>
  <si>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6"/>
  </si>
  <si>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</si>
  <si>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</si>
  <si>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</si>
  <si>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6"/>
  </si>
  <si>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6"/>
  </si>
  <si>
    <r>
      <t>その他マニュアル：</t>
    </r>
    <r>
      <rPr>
        <sz val="11"/>
        <color theme="1"/>
        <rFont val="Yu Gothic UI"/>
        <family val="2"/>
        <charset val="128"/>
      </rPr>
      <t xml:space="preserve"> [システム室マニュアル]（プリンタ・基幹システム設定等）</t>
    </r>
    <phoneticPr fontId="6"/>
  </si>
  <si>
    <r>
      <t xml:space="preserve">━━━━━━━━━━━━━━━━ </t>
    </r>
    <r>
      <rPr>
        <b/>
        <sz val="11"/>
        <color theme="1"/>
        <rFont val="游ゴシック"/>
        <family val="3"/>
        <charset val="128"/>
        <scheme val="minor"/>
      </rPr>
      <t>■ STEP ２：テックパソコンでの初期設定</t>
    </r>
    <r>
      <rPr>
        <sz val="11"/>
        <color theme="1"/>
        <rFont val="游ゴシック"/>
        <family val="2"/>
        <charset val="128"/>
      </rPr>
      <t xml:space="preserve"> ━━━━━━━━━━━━━━━━</t>
    </r>
    <phoneticPr fontId="6"/>
  </si>
  <si>
    <t>ネットワーク</t>
    <phoneticPr fontId="6"/>
  </si>
  <si>
    <t>吉中 良輔</t>
  </si>
  <si>
    <t>シリアル値</t>
    <rPh sb="4" eb="5">
      <t>チ</t>
    </rPh>
    <phoneticPr fontId="6"/>
  </si>
  <si>
    <t>中桐 太一</t>
  </si>
  <si>
    <t>平岡 隆治</t>
  </si>
  <si>
    <t>基礎控除</t>
    <rPh sb="0" eb="4">
      <t>キソコウジョ</t>
    </rPh>
    <phoneticPr fontId="6"/>
  </si>
  <si>
    <t>医療分</t>
    <rPh sb="0" eb="3">
      <t>イリョウブン</t>
    </rPh>
    <phoneticPr fontId="6"/>
  </si>
  <si>
    <t>支援分</t>
    <rPh sb="0" eb="3">
      <t>シエンブン</t>
    </rPh>
    <phoneticPr fontId="6"/>
  </si>
  <si>
    <t>介護分</t>
    <rPh sb="0" eb="3">
      <t>カイゴブン</t>
    </rPh>
    <phoneticPr fontId="6"/>
  </si>
  <si>
    <t>国民保険料</t>
    <rPh sb="0" eb="2">
      <t>コクミン</t>
    </rPh>
    <rPh sb="2" eb="5">
      <t>ホケンリョウ</t>
    </rPh>
    <phoneticPr fontId="6"/>
  </si>
  <si>
    <t>国民年金保険料</t>
    <rPh sb="0" eb="4">
      <t>コクミンネンキン</t>
    </rPh>
    <rPh sb="4" eb="7">
      <t>ホケンリョウ</t>
    </rPh>
    <phoneticPr fontId="6"/>
  </si>
  <si>
    <t>支払計</t>
    <rPh sb="0" eb="2">
      <t>シハラ</t>
    </rPh>
    <rPh sb="2" eb="3">
      <t>ケイ</t>
    </rPh>
    <phoneticPr fontId="6"/>
  </si>
  <si>
    <t>手取り</t>
    <rPh sb="0" eb="2">
      <t>テド</t>
    </rPh>
    <phoneticPr fontId="6"/>
  </si>
  <si>
    <t>市民税・県民税</t>
    <rPh sb="0" eb="3">
      <t>シミンゼイ</t>
    </rPh>
    <rPh sb="4" eb="7">
      <t>ケンミンゼイ</t>
    </rPh>
    <phoneticPr fontId="6"/>
  </si>
  <si>
    <t>月手取り</t>
    <rPh sb="0" eb="1">
      <t>ツキ</t>
    </rPh>
    <rPh sb="1" eb="3">
      <t>テド</t>
    </rPh>
    <phoneticPr fontId="6"/>
  </si>
  <si>
    <t>※所得税がかかります。</t>
    <rPh sb="1" eb="4">
      <t>ショトクゼイ</t>
    </rPh>
    <phoneticPr fontId="6"/>
  </si>
  <si>
    <t>秋山 雄介</t>
  </si>
  <si>
    <t>2026年10月22日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</si>
</sst>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3">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1" fillId="0" borderId="0" applyNumberFormat="0" applyFill="0" applyBorder="0" applyAlignment="0" applyProtection="0">
      <alignment vertical="center"/>
    </xf>
    <xf numFmtId="0" fontId="5" fillId="0" borderId="0">
      <alignment vertical="center"/>
    </xf>
    <xf numFmtId="0" fontId="21" fillId="0" borderId="0">
      <alignment vertical="center"/>
    </xf>
    <xf numFmtId="0" fontId="22" fillId="0" borderId="0"/>
    <xf numFmtId="0" fontId="23" fillId="0" borderId="0" applyNumberFormat="0" applyFill="0" applyBorder="0" applyAlignment="0" applyProtection="0"/>
    <xf numFmtId="0" fontId="24" fillId="0" borderId="0"/>
    <xf numFmtId="38" fontId="24" fillId="0" borderId="0" applyFont="0" applyFill="0" applyBorder="0" applyAlignment="0" applyProtection="0"/>
    <xf numFmtId="0" fontId="25" fillId="0" borderId="0" applyNumberFormat="0" applyFill="0" applyBorder="0" applyAlignment="0" applyProtection="0">
      <alignment vertical="center"/>
    </xf>
    <xf numFmtId="0" fontId="4" fillId="0" borderId="0">
      <alignment vertical="center"/>
    </xf>
  </cellStyleXfs>
  <cellXfs count="77">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7" fillId="0" borderId="0" xfId="0" applyFont="1" applyAlignment="1">
      <alignment horizontal="justify" vertical="center"/>
    </xf>
    <xf numFmtId="0" fontId="7" fillId="0" borderId="0" xfId="0" applyFont="1">
      <alignment vertical="center"/>
    </xf>
    <xf numFmtId="0" fontId="8"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9" fillId="0" borderId="0" xfId="0" applyFont="1" applyAlignment="1">
      <alignment horizontal="justify" vertical="center"/>
    </xf>
    <xf numFmtId="0" fontId="9" fillId="0" borderId="0" xfId="0" applyFont="1">
      <alignment vertical="center"/>
    </xf>
    <xf numFmtId="0" fontId="10"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2" fillId="0" borderId="0" xfId="0" applyNumberFormat="1" applyFont="1">
      <alignment vertical="center"/>
    </xf>
    <xf numFmtId="0" fontId="13" fillId="0" borderId="0" xfId="0" applyFont="1" applyAlignment="1">
      <alignment vertical="center" shrinkToFit="1"/>
    </xf>
    <xf numFmtId="0" fontId="12" fillId="0" borderId="0" xfId="0" applyFont="1" applyAlignment="1">
      <alignment horizontal="left" vertical="center"/>
    </xf>
    <xf numFmtId="0" fontId="14" fillId="2" borderId="2" xfId="1" applyFont="1" applyFill="1" applyBorder="1">
      <alignment vertical="center"/>
    </xf>
    <xf numFmtId="0" fontId="14"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6"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4"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8" fillId="0" borderId="0" xfId="0" applyFont="1">
      <alignment vertical="center"/>
    </xf>
    <xf numFmtId="3" fontId="18"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1" fillId="0" borderId="0" xfId="1">
      <alignment vertical="center"/>
    </xf>
    <xf numFmtId="0" fontId="20" fillId="8" borderId="0" xfId="0" applyFont="1" applyFill="1" applyAlignment="1">
      <alignment horizontal="right" vertical="center"/>
    </xf>
    <xf numFmtId="0" fontId="11" fillId="8" borderId="0" xfId="1" applyFill="1" applyAlignment="1">
      <alignment horizontal="left" vertical="center"/>
    </xf>
    <xf numFmtId="0" fontId="20" fillId="8" borderId="0" xfId="0" applyFont="1" applyFill="1" applyAlignment="1">
      <alignment horizontal="left" vertical="center"/>
    </xf>
    <xf numFmtId="184" fontId="26" fillId="9" borderId="11" xfId="0" applyNumberFormat="1" applyFont="1" applyFill="1" applyBorder="1" applyAlignment="1">
      <alignment horizontal="left" vertical="center"/>
    </xf>
    <xf numFmtId="184" fontId="0" fillId="0" borderId="0" xfId="0" applyNumberFormat="1">
      <alignment vertical="center"/>
    </xf>
    <xf numFmtId="0" fontId="4" fillId="0" borderId="0" xfId="9">
      <alignment vertical="center"/>
    </xf>
    <xf numFmtId="0" fontId="4" fillId="0" borderId="0" xfId="9" applyAlignment="1">
      <alignment horizontal="left" vertical="center" indent="1"/>
    </xf>
    <xf numFmtId="0" fontId="4" fillId="0" borderId="0" xfId="9" applyAlignment="1">
      <alignment horizontal="left" vertical="center" indent="2"/>
    </xf>
    <xf numFmtId="0" fontId="28" fillId="0" borderId="0" xfId="9" applyFont="1" applyAlignment="1">
      <alignment horizontal="left" vertical="center" indent="2"/>
    </xf>
    <xf numFmtId="0" fontId="29" fillId="0" borderId="0" xfId="9" applyFont="1" applyAlignment="1">
      <alignment horizontal="left" vertical="center" indent="1"/>
    </xf>
    <xf numFmtId="0" fontId="4" fillId="0" borderId="0" xfId="9" applyAlignment="1">
      <alignment horizontal="left" vertical="center" indent="3"/>
    </xf>
    <xf numFmtId="0" fontId="30" fillId="0" borderId="0" xfId="9" applyFont="1">
      <alignment vertical="center"/>
    </xf>
    <xf numFmtId="0" fontId="3" fillId="0" borderId="0" xfId="9" applyFont="1">
      <alignment vertical="center"/>
    </xf>
    <xf numFmtId="0" fontId="2"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1" fillId="0" borderId="0" xfId="9" applyFont="1">
      <alignment vertical="center"/>
    </xf>
    <xf numFmtId="0" fontId="1"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2" fillId="2" borderId="0" xfId="0" applyNumberFormat="1" applyFont="1" applyFill="1">
      <alignment vertical="center"/>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5" Type="http://schemas.openxmlformats.org/officeDocument/2006/relationships/printerSettings" Target="../printerSettings/printerSettings2.bin"/><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tabSelected="1" workbookViewId="0">
      <selection activeCell="H6" sqref="H6:J6"/>
    </sheetView>
  </sheetViews>
  <sheetFormatPr defaultRowHeight="16.8"/>
  <cols>
    <col min="2" max="2" width="10.3984375" bestFit="1" customWidth="1"/>
    <col min="3" max="3" width="15.19921875" bestFit="1" customWidth="1"/>
    <col min="9" max="9" width="15.19921875" bestFit="1" customWidth="1"/>
  </cols>
  <sheetData>
    <row r="2" spans="2:10">
      <c r="B2" t="s">
        <v>171</v>
      </c>
      <c r="C2" t="s">
        <v>529</v>
      </c>
      <c r="H2" t="s">
        <v>544</v>
      </c>
      <c r="I2" s="44">
        <v>46317</v>
      </c>
      <c r="J2" t="s">
        <v>5</v>
      </c>
    </row>
    <row r="3" spans="2:10">
      <c r="B3" t="s">
        <v>4</v>
      </c>
      <c r="C3" t="s">
        <v>5</v>
      </c>
    </row>
    <row r="4" spans="2:10">
      <c r="B4" t="s">
        <v>6</v>
      </c>
      <c r="C4" s="44">
        <v>46310</v>
      </c>
    </row>
    <row r="6" spans="2:10">
      <c r="B6" t="str">
        <f>C2</f>
        <v>吉中 良輔</v>
      </c>
      <c r="C6" s="10">
        <f>(C4)*1</f>
        <v>46310</v>
      </c>
      <c r="D6" t="str">
        <f>C3</f>
        <v>100日間</v>
      </c>
      <c r="E6" t="s">
        <v>530</v>
      </c>
      <c r="H6" t="str">
        <f>H2</f>
        <v>秋山 雄介</v>
      </c>
      <c r="I6" t="str">
        <f>YEAR(I2)&amp;"年"&amp;MONTH(I2)&amp;"月"&amp;DAY(I2)&amp;"日"</f>
        <v>2026年10月22日</v>
      </c>
      <c r="J6" t="str">
        <f>J2</f>
        <v>100日間</v>
      </c>
    </row>
    <row r="7" spans="2:10">
      <c r="B7" t="str">
        <f>C2</f>
        <v>吉中 良輔</v>
      </c>
      <c r="C7" t="str">
        <f>YEAR(C4)&amp;"年"&amp;MONTH(C4)&amp;"月"&amp;DAY(C4)&amp;"日"</f>
        <v>2026年10月15日</v>
      </c>
      <c r="D7" t="str">
        <f>C3</f>
        <v>100日間</v>
      </c>
    </row>
    <row r="9" spans="2:10">
      <c r="B9" t="s">
        <v>508</v>
      </c>
    </row>
    <row r="10" spans="2:10">
      <c r="B10">
        <v>8</v>
      </c>
      <c r="C10" t="str">
        <f>VLOOKUP(B10,社員名!$B$4:$G$80,3,FALSE)&amp;" 様"</f>
        <v>稲井　佳暢 様</v>
      </c>
    </row>
    <row r="11" spans="2:10">
      <c r="B11" t="s">
        <v>509</v>
      </c>
      <c r="C11">
        <f ca="1">YEAR(TODAY())</f>
        <v>2026</v>
      </c>
      <c r="D11">
        <f ca="1">MONTH(TODAY())</f>
        <v>7</v>
      </c>
      <c r="E11">
        <f ca="1">DAY(TODAY())</f>
        <v>14</v>
      </c>
      <c r="G11" t="str">
        <f ca="1">TEXT((C11&amp;"/"&amp;D11&amp;"/"&amp;E11)*1,"AAA")</f>
        <v>火</v>
      </c>
    </row>
    <row r="12" spans="2:10">
      <c r="B12" t="s">
        <v>516</v>
      </c>
      <c r="C12">
        <f ca="1">YEAR(TODAY())</f>
        <v>2026</v>
      </c>
      <c r="D12">
        <f ca="1">MONTH(TODAY())</f>
        <v>7</v>
      </c>
      <c r="E12">
        <f ca="1">DAY(TODAY())</f>
        <v>14</v>
      </c>
      <c r="G12" t="str">
        <f ca="1">TEXT((C12&amp;"/"&amp;D12&amp;"/"&amp;E12)*1,"AAA")</f>
        <v>火</v>
      </c>
    </row>
    <row r="13" spans="2:10">
      <c r="C13" t="s">
        <v>513</v>
      </c>
      <c r="D13" t="s">
        <v>514</v>
      </c>
      <c r="E13" s="66" t="s">
        <v>515</v>
      </c>
      <c r="G13" t="str">
        <f>C13&amp;D13&amp;E13&amp;F13</f>
        <v>OK04-A1-PC0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opLeftCell="A10" zoomScale="70" zoomScaleNormal="70" workbookViewId="0">
      <selection activeCell="D33" sqref="D33"/>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46217</v>
      </c>
      <c r="C2">
        <f ca="1">B4-B2+1</f>
        <v>-684</v>
      </c>
      <c r="D2" s="11">
        <f ca="1">$B2+D$1</f>
        <v>46317</v>
      </c>
      <c r="E2" s="11">
        <f t="shared" ref="E2:J3" ca="1" si="0">$B2+E$1</f>
        <v>46277</v>
      </c>
      <c r="F2" s="11">
        <f t="shared" ca="1" si="0"/>
        <v>46262</v>
      </c>
      <c r="G2" s="11">
        <f t="shared" ca="1" si="0"/>
        <v>46247</v>
      </c>
      <c r="H2" s="11">
        <f ca="1">$B2+H$1</f>
        <v>46238</v>
      </c>
      <c r="I2" s="11">
        <f t="shared" ca="1" si="0"/>
        <v>46231</v>
      </c>
      <c r="J2" s="11">
        <f t="shared" ca="1" si="0"/>
        <v>46224</v>
      </c>
    </row>
    <row r="3" spans="1:22" ht="17.399999999999999" thickBot="1">
      <c r="A3" t="s">
        <v>1</v>
      </c>
      <c r="B3" s="4">
        <f ca="1">(K3&amp;"/"&amp;L3&amp;"/"&amp;M3)*1</f>
        <v>46217</v>
      </c>
      <c r="C3" s="5">
        <f ca="1">B4-B3+1</f>
        <v>-684</v>
      </c>
      <c r="D3" s="11">
        <f ca="1">$B3+D$1</f>
        <v>46317</v>
      </c>
      <c r="E3" s="11">
        <f t="shared" ca="1" si="0"/>
        <v>46277</v>
      </c>
      <c r="F3" s="11">
        <f t="shared" ca="1" si="0"/>
        <v>46262</v>
      </c>
      <c r="G3" s="11">
        <f t="shared" ca="1" si="0"/>
        <v>46247</v>
      </c>
      <c r="H3" s="11">
        <f ca="1">$B3+H$1</f>
        <v>46238</v>
      </c>
      <c r="I3" s="11">
        <f t="shared" ca="1" si="0"/>
        <v>46231</v>
      </c>
      <c r="J3" s="11">
        <f t="shared" ca="1" si="0"/>
        <v>46224</v>
      </c>
      <c r="K3">
        <f ca="1">YEAR(TODAY())</f>
        <v>2026</v>
      </c>
      <c r="L3">
        <f ca="1">MONTH(TODAY())</f>
        <v>7</v>
      </c>
      <c r="M3">
        <f ca="1">DAY(TODAY())</f>
        <v>14</v>
      </c>
    </row>
    <row r="4" spans="1:22">
      <c r="A4" t="s">
        <v>2</v>
      </c>
      <c r="B4" s="2">
        <f>(K4&amp;"/"&amp;L4&amp;"/"&amp;M4)*1</f>
        <v>45532</v>
      </c>
      <c r="K4">
        <v>2024</v>
      </c>
      <c r="L4">
        <v>8</v>
      </c>
      <c r="M4">
        <v>28</v>
      </c>
      <c r="Q4" t="s">
        <v>172</v>
      </c>
    </row>
    <row r="5" spans="1:22">
      <c r="A5" t="s">
        <v>3</v>
      </c>
      <c r="B5" s="3">
        <v>100</v>
      </c>
      <c r="C5" s="1">
        <f>B4-B5+1</f>
        <v>45433</v>
      </c>
      <c r="D5" s="31" t="s">
        <v>386</v>
      </c>
      <c r="E5" s="31"/>
      <c r="F5" s="31"/>
      <c r="G5" s="31"/>
      <c r="H5" s="31"/>
      <c r="I5" t="s">
        <v>181</v>
      </c>
      <c r="Q5" t="s">
        <v>173</v>
      </c>
    </row>
    <row r="6" spans="1:22">
      <c r="A6" t="s">
        <v>491</v>
      </c>
      <c r="D6" t="s">
        <v>4</v>
      </c>
      <c r="E6" t="s">
        <v>5</v>
      </c>
      <c r="Q6">
        <v>5</v>
      </c>
    </row>
    <row r="7" spans="1:22">
      <c r="D7" t="s">
        <v>6</v>
      </c>
      <c r="E7" t="s">
        <v>174</v>
      </c>
      <c r="I7" t="s">
        <v>445</v>
      </c>
      <c r="J7" t="s">
        <v>501</v>
      </c>
      <c r="K7" t="s">
        <v>5</v>
      </c>
      <c r="Q7">
        <v>14</v>
      </c>
    </row>
    <row r="8" spans="1:22">
      <c r="B8" s="23">
        <f>L12</f>
        <v>0</v>
      </c>
      <c r="D8">
        <f>LEN(D5)</f>
        <v>34</v>
      </c>
      <c r="E8" t="s">
        <v>180</v>
      </c>
      <c r="I8" t="s">
        <v>446</v>
      </c>
      <c r="J8" t="s">
        <v>501</v>
      </c>
      <c r="K8" t="s">
        <v>5</v>
      </c>
      <c r="Q8">
        <v>23</v>
      </c>
      <c r="R8" s="32">
        <f>Q7-Q6</f>
        <v>9</v>
      </c>
    </row>
    <row r="9" spans="1:22">
      <c r="A9" t="s">
        <v>439</v>
      </c>
      <c r="B9">
        <v>4</v>
      </c>
      <c r="C9" s="36" t="str">
        <f>MID(D5,F9,E9)</f>
        <v>加茂 直人</v>
      </c>
      <c r="D9" s="37"/>
      <c r="E9" s="38">
        <v>5</v>
      </c>
      <c r="F9" s="37">
        <v>4</v>
      </c>
      <c r="I9" t="s">
        <v>446</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秋山 雄介様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485</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420</v>
      </c>
      <c r="U13" t="s">
        <v>421</v>
      </c>
      <c r="V13" t="s">
        <v>5</v>
      </c>
    </row>
    <row r="14" spans="1:22" ht="18">
      <c r="A14" s="21" t="s">
        <v>428</v>
      </c>
      <c r="H14">
        <v>2</v>
      </c>
      <c r="I14" t="s">
        <v>531</v>
      </c>
      <c r="J14" s="44">
        <v>46311</v>
      </c>
      <c r="K14" t="s">
        <v>5</v>
      </c>
      <c r="P14" s="52" t="s">
        <v>6</v>
      </c>
      <c r="Q14" s="54" t="s">
        <v>465</v>
      </c>
      <c r="T14" t="s">
        <v>422</v>
      </c>
      <c r="U14" t="s">
        <v>421</v>
      </c>
      <c r="V14" t="s">
        <v>5</v>
      </c>
    </row>
    <row r="15" spans="1:22" ht="18">
      <c r="A15" s="7"/>
      <c r="E15" t="s">
        <v>13</v>
      </c>
      <c r="H15">
        <v>3</v>
      </c>
      <c r="I15" t="s">
        <v>532</v>
      </c>
      <c r="J15" s="44">
        <v>46311</v>
      </c>
      <c r="K15" t="s">
        <v>5</v>
      </c>
    </row>
    <row r="16" spans="1:22" ht="18.600000000000001" thickBot="1">
      <c r="A16" s="20" t="s">
        <v>431</v>
      </c>
      <c r="E16" s="17" t="s">
        <v>9</v>
      </c>
      <c r="F16" s="12" t="s">
        <v>14</v>
      </c>
      <c r="G16" s="13" t="s">
        <v>11</v>
      </c>
      <c r="I16" t="s">
        <v>434</v>
      </c>
      <c r="J16" t="s">
        <v>435</v>
      </c>
      <c r="K16" t="s">
        <v>5</v>
      </c>
    </row>
    <row r="17" spans="1:18" ht="18.600000000000001" thickBot="1">
      <c r="A17" s="7"/>
      <c r="D17" s="29">
        <v>2</v>
      </c>
      <c r="E17" s="40" t="s">
        <v>544</v>
      </c>
      <c r="F17" s="42" t="s">
        <v>545</v>
      </c>
      <c r="G17" s="40" t="s">
        <v>5</v>
      </c>
      <c r="H17" t="s">
        <v>430</v>
      </c>
      <c r="I17" t="s">
        <v>385</v>
      </c>
      <c r="J17" t="s">
        <v>435</v>
      </c>
      <c r="K17" t="s">
        <v>5</v>
      </c>
      <c r="P17" s="31" t="s">
        <v>430</v>
      </c>
      <c r="Q17" t="s">
        <v>171</v>
      </c>
      <c r="R17" t="s">
        <v>436</v>
      </c>
    </row>
    <row r="18" spans="1:18" ht="18">
      <c r="A18" s="7" t="s">
        <v>494</v>
      </c>
      <c r="D18" t="s">
        <v>4</v>
      </c>
      <c r="E18" t="s">
        <v>5</v>
      </c>
      <c r="F18" s="15" t="s">
        <v>15</v>
      </c>
      <c r="G18" s="14" t="s">
        <v>5</v>
      </c>
      <c r="J18" t="str">
        <f>MID(H15,H18+5,100)</f>
        <v/>
      </c>
      <c r="N18">
        <f>FIND("日",Q13)</f>
        <v>4</v>
      </c>
      <c r="Q18" t="s">
        <v>4</v>
      </c>
      <c r="R18" t="s">
        <v>5</v>
      </c>
    </row>
    <row r="19" spans="1:18" ht="18">
      <c r="A19" s="7" t="s">
        <v>492</v>
      </c>
      <c r="D19" t="s">
        <v>6</v>
      </c>
      <c r="E19" t="s">
        <v>16</v>
      </c>
      <c r="F19" t="s">
        <v>17</v>
      </c>
      <c r="G19" t="s">
        <v>5</v>
      </c>
      <c r="Q19" t="s">
        <v>6</v>
      </c>
      <c r="R19" t="s">
        <v>435</v>
      </c>
    </row>
    <row r="20" spans="1:18" ht="15.6" customHeight="1">
      <c r="A20" s="7"/>
      <c r="D20" s="35" t="str">
        <f t="shared" ref="D20:D24" si="2">IF($D$25=1,E20,IF($D$25=2,F20,IF($D$25=3,G20,IF($D$25=4,H20,IF($D$25=5,I20,J20)))))</f>
        <v>秋山 雄介</v>
      </c>
      <c r="E20" s="36" t="str">
        <f>C9</f>
        <v>加茂 直人</v>
      </c>
      <c r="F20" s="40" t="str">
        <f>E17</f>
        <v>秋山 雄介</v>
      </c>
      <c r="G20" s="33" t="str">
        <f>P20</f>
        <v>田中 航</v>
      </c>
      <c r="H20" s="33" t="str">
        <f>Q12</f>
        <v>森本 航成</v>
      </c>
      <c r="I20" s="33" t="str">
        <f>E17</f>
        <v>秋山 雄介</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No.74016 dowatec ネットリモート接続設定・利用申請書でいただきましたご利用権限を新規にて発行しております。</v>
      </c>
      <c r="D23" s="35">
        <f t="shared" si="2"/>
        <v>22</v>
      </c>
      <c r="E23" s="36">
        <f>C12</f>
        <v>18</v>
      </c>
      <c r="F23" s="40">
        <f>MID(F17,FIND("月",F17)+1,FIND("日",F17)-FIND("月",F17)-1)*1</f>
        <v>22</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ご利用期間2026年07月14日(火曜日)から2026年10月22日(木曜日)までです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429</v>
      </c>
      <c r="C25" s="20"/>
      <c r="D25" s="25">
        <v>2</v>
      </c>
      <c r="E25" t="str">
        <f>IF(D25=1,"新規1",IF(D25=2,"新規",IF(D25=3,"延長","その他")))</f>
        <v>新規</v>
      </c>
      <c r="F25" s="3" t="s">
        <v>177</v>
      </c>
      <c r="G25" s="41" t="s">
        <v>178</v>
      </c>
      <c r="H25" s="41" t="s">
        <v>179</v>
      </c>
    </row>
    <row r="26" spans="1:18">
      <c r="A26" t="s">
        <v>21</v>
      </c>
      <c r="D26" t="str">
        <f>TEXT((D21&amp;"/"&amp;D22&amp;"/"&amp;D23)*1,"aaa")</f>
        <v>木</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※秋山 雄介様のスケジュールの方にリモートアクセス最終日ご利用日[ご利用期限：2026年10月22日]登録をさせていただきました。</v>
      </c>
      <c r="G27" t="s">
        <v>466</v>
      </c>
      <c r="H27" s="44" t="s">
        <v>465</v>
      </c>
      <c r="I27" t="s">
        <v>5</v>
      </c>
    </row>
    <row r="28" spans="1:18" ht="18.600000000000001" thickBot="1">
      <c r="A28" s="7" t="s">
        <v>23</v>
      </c>
      <c r="B28" s="8"/>
      <c r="D28" s="9">
        <v>7</v>
      </c>
      <c r="E28" s="9">
        <v>4</v>
      </c>
      <c r="F28" s="22">
        <v>16</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No.74016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No.74016 dowatec ネットリモート接続設定・利用申請いただきましたご利用権限を新規にて発行しております。※延長利用の場合はワークフローにて申請お願いします。</v>
      </c>
      <c r="M30" t="s">
        <v>18</v>
      </c>
      <c r="N30" t="s">
        <v>19</v>
      </c>
      <c r="P30" t="s">
        <v>432</v>
      </c>
      <c r="Q30" t="s">
        <v>433</v>
      </c>
      <c r="R30" t="s">
        <v>5</v>
      </c>
    </row>
    <row r="31" spans="1:18" ht="18">
      <c r="A31" s="7" t="s">
        <v>25</v>
      </c>
      <c r="C31" s="7"/>
      <c r="M31" s="1"/>
      <c r="N31" s="10"/>
    </row>
    <row r="32" spans="1:18" ht="18">
      <c r="A32" s="7"/>
      <c r="B32" s="7"/>
      <c r="D32" t="s">
        <v>20</v>
      </c>
    </row>
    <row r="33" spans="1:18" ht="18">
      <c r="A33" s="20" t="s">
        <v>493</v>
      </c>
      <c r="B33" s="7"/>
      <c r="C33" s="7"/>
      <c r="D33" t="str">
        <f>"■申請番号No."&amp;IF(F28&lt;100,D28&amp;E28&amp;TEXT(F28,"000"),D28&amp;E28&amp;F28)*1&amp;"のリモート接続設定ご利用最終日です。※延長希望の場合は申請お願いします。"</f>
        <v>■申請番号No.74016のリモート接続設定ご利用最終日です。※延長希望の場合は申請お願いします。</v>
      </c>
    </row>
    <row r="34" spans="1:18" ht="18">
      <c r="A34" s="51" t="s">
        <v>438</v>
      </c>
      <c r="B34" s="7"/>
      <c r="C34" s="7"/>
      <c r="D34" t="s">
        <v>22</v>
      </c>
      <c r="R34" s="18"/>
    </row>
    <row r="35" spans="1:18" ht="18">
      <c r="A35" s="51"/>
      <c r="C35" s="7"/>
      <c r="D35" t="str">
        <f>"■申請番号No."&amp;IF(F28&lt;100,D28&amp;E28&amp;TEXT(F28,"000"),D28&amp;E28&amp;F28)*1&amp;"のリモート接続ワークフローでの申請の"</f>
        <v>■申請番号No.74016のリモート接続ワークフローでの申請の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ご利用期間2026年07月14日(火曜日)から2026年10月22日(木曜日)までです</v>
      </c>
    </row>
    <row r="37" spans="1:18">
      <c r="A37" s="51"/>
    </row>
    <row r="39" spans="1:18">
      <c r="A39" t="s">
        <v>26</v>
      </c>
      <c r="D39" s="35" t="str">
        <f>MID(D20,1,FIND(" ",D20)-1)&amp;"　"&amp;MID(D20,FIND(" ",D20)+1,100)</f>
        <v>秋山　雄介</v>
      </c>
    </row>
    <row r="41" spans="1:18">
      <c r="A41" t="str">
        <f>D20&amp;"様"</f>
        <v>秋山 雄介様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以下に、秋山 雄介様のBeatAccess IDをお送りいたします。</v>
      </c>
    </row>
    <row r="48" spans="1:18">
      <c r="A48" t="str">
        <f>"BeatAccess ID: "&amp;VLOOKUP(D39,社員名!$A$4:$G$650,3,FALSE)</f>
        <v>BeatAccess ID: akiyamay</v>
      </c>
    </row>
    <row r="49" spans="1:8">
      <c r="A49" t="str">
        <f>"BeatAccess PASS: "&amp;VLOOKUP(D39,社員名!$A$4:$G$650,6,FALSE)</f>
        <v>BeatAccess PASS: 717136</v>
      </c>
    </row>
    <row r="51" spans="1:8">
      <c r="A51" t="s">
        <v>28</v>
      </c>
    </row>
    <row r="52" spans="1:8">
      <c r="A52" t="s">
        <v>29</v>
      </c>
    </row>
    <row r="54" spans="1:8">
      <c r="A54" t="s">
        <v>30</v>
      </c>
    </row>
    <row r="60" spans="1:8">
      <c r="A60" t="s">
        <v>384</v>
      </c>
    </row>
    <row r="61" spans="1:8">
      <c r="F61">
        <f>G57</f>
        <v>0</v>
      </c>
      <c r="G61">
        <f>G59</f>
        <v>0</v>
      </c>
      <c r="H61">
        <f>G58</f>
        <v>0</v>
      </c>
    </row>
    <row r="62" spans="1:8">
      <c r="A62" t="str">
        <f>D20&amp;"様"</f>
        <v>秋山 雄介様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717136</v>
      </c>
    </row>
    <row r="71" spans="1:1">
      <c r="A71" t="s">
        <v>32</v>
      </c>
    </row>
    <row r="72" spans="1:1">
      <c r="A72" t="s">
        <v>29</v>
      </c>
    </row>
    <row r="74" spans="1:1">
      <c r="A74" t="s">
        <v>30</v>
      </c>
    </row>
  </sheetData>
  <phoneticPr fontId="6"/>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448</v>
      </c>
      <c r="C1" s="1">
        <v>45845</v>
      </c>
      <c r="D1" t="s">
        <v>467</v>
      </c>
      <c r="H1" t="s">
        <v>468</v>
      </c>
    </row>
    <row r="2" spans="1:8">
      <c r="C2" t="s">
        <v>33</v>
      </c>
    </row>
    <row r="3" spans="1:8">
      <c r="A3" t="s">
        <v>9</v>
      </c>
      <c r="B3" t="s">
        <v>34</v>
      </c>
      <c r="C3" t="s">
        <v>35</v>
      </c>
      <c r="D3" t="s">
        <v>9</v>
      </c>
      <c r="E3" t="s">
        <v>36</v>
      </c>
      <c r="F3" t="s">
        <v>37</v>
      </c>
      <c r="G3" t="s">
        <v>38</v>
      </c>
      <c r="H3" t="s">
        <v>469</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470</v>
      </c>
    </row>
    <row r="6" spans="1:8">
      <c r="A6" t="s">
        <v>205</v>
      </c>
      <c r="B6">
        <v>3</v>
      </c>
      <c r="C6" t="s">
        <v>94</v>
      </c>
      <c r="D6" t="s">
        <v>205</v>
      </c>
      <c r="E6" t="s">
        <v>95</v>
      </c>
      <c r="F6">
        <v>717136</v>
      </c>
      <c r="G6" t="s">
        <v>206</v>
      </c>
      <c r="H6" t="s">
        <v>471</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472</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495</v>
      </c>
      <c r="D26" t="s">
        <v>262</v>
      </c>
      <c r="E26" t="s">
        <v>263</v>
      </c>
      <c r="G26" t="s">
        <v>53</v>
      </c>
      <c r="H26" t="s">
        <v>473</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474</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475</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496</v>
      </c>
      <c r="G48" t="s">
        <v>328</v>
      </c>
      <c r="H48" t="s">
        <v>473</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473</v>
      </c>
    </row>
    <row r="51" spans="1:8">
      <c r="A51" t="s">
        <v>333</v>
      </c>
      <c r="B51">
        <v>48</v>
      </c>
      <c r="C51" t="s">
        <v>150</v>
      </c>
      <c r="D51" t="s">
        <v>333</v>
      </c>
      <c r="E51" t="s">
        <v>334</v>
      </c>
      <c r="F51" t="s">
        <v>450</v>
      </c>
      <c r="G51" t="s">
        <v>335</v>
      </c>
    </row>
    <row r="52" spans="1:8">
      <c r="A52" t="s">
        <v>336</v>
      </c>
      <c r="B52">
        <v>49</v>
      </c>
      <c r="C52" t="s">
        <v>149</v>
      </c>
      <c r="D52" t="s">
        <v>336</v>
      </c>
      <c r="E52" t="s">
        <v>337</v>
      </c>
      <c r="F52">
        <v>349285</v>
      </c>
      <c r="G52" t="s">
        <v>338</v>
      </c>
      <c r="H52" t="s">
        <v>476</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477</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451</v>
      </c>
    </row>
    <row r="69" spans="1:9">
      <c r="A69" t="s">
        <v>378</v>
      </c>
      <c r="B69">
        <v>66</v>
      </c>
      <c r="C69" t="s">
        <v>51</v>
      </c>
      <c r="D69" t="s">
        <v>378</v>
      </c>
      <c r="E69" t="s">
        <v>379</v>
      </c>
      <c r="F69" t="s">
        <v>52</v>
      </c>
      <c r="G69" t="s">
        <v>380</v>
      </c>
      <c r="H69" s="1" t="s">
        <v>452</v>
      </c>
    </row>
    <row r="70" spans="1:9">
      <c r="A70" t="s">
        <v>381</v>
      </c>
      <c r="B70">
        <v>67</v>
      </c>
      <c r="C70" t="s">
        <v>141</v>
      </c>
      <c r="D70" t="s">
        <v>381</v>
      </c>
      <c r="E70" t="s">
        <v>382</v>
      </c>
      <c r="F70" t="s">
        <v>142</v>
      </c>
      <c r="G70" t="s">
        <v>383</v>
      </c>
    </row>
    <row r="71" spans="1:9">
      <c r="A71" t="s">
        <v>457</v>
      </c>
      <c r="B71">
        <v>68</v>
      </c>
      <c r="C71" t="s">
        <v>187</v>
      </c>
      <c r="D71" t="s">
        <v>497</v>
      </c>
      <c r="E71" t="s">
        <v>188</v>
      </c>
      <c r="F71" t="s">
        <v>189</v>
      </c>
      <c r="G71" t="s">
        <v>190</v>
      </c>
    </row>
    <row r="72" spans="1:9">
      <c r="A72" t="s">
        <v>192</v>
      </c>
      <c r="B72">
        <v>69</v>
      </c>
      <c r="C72" t="s">
        <v>191</v>
      </c>
      <c r="D72" t="s">
        <v>192</v>
      </c>
      <c r="E72" t="s">
        <v>193</v>
      </c>
      <c r="F72" t="s">
        <v>194</v>
      </c>
      <c r="G72" t="s">
        <v>195</v>
      </c>
      <c r="H72" t="s">
        <v>478</v>
      </c>
    </row>
    <row r="73" spans="1:9">
      <c r="A73" t="s">
        <v>458</v>
      </c>
      <c r="B73">
        <v>70</v>
      </c>
      <c r="C73" t="s">
        <v>196</v>
      </c>
      <c r="D73" t="s">
        <v>498</v>
      </c>
      <c r="E73" t="s">
        <v>197</v>
      </c>
      <c r="F73" t="s">
        <v>198</v>
      </c>
      <c r="G73" t="s">
        <v>199</v>
      </c>
      <c r="H73" t="s">
        <v>479</v>
      </c>
    </row>
    <row r="74" spans="1:9">
      <c r="A74" t="s">
        <v>459</v>
      </c>
      <c r="B74">
        <v>71</v>
      </c>
      <c r="C74" t="s">
        <v>184</v>
      </c>
      <c r="D74" t="s">
        <v>499</v>
      </c>
      <c r="E74" t="s">
        <v>185</v>
      </c>
      <c r="F74" t="s">
        <v>182</v>
      </c>
      <c r="G74" t="s">
        <v>186</v>
      </c>
      <c r="H74" s="1">
        <v>45936</v>
      </c>
    </row>
    <row r="75" spans="1:9">
      <c r="A75" t="s">
        <v>460</v>
      </c>
      <c r="B75">
        <v>72</v>
      </c>
      <c r="C75" t="s">
        <v>424</v>
      </c>
      <c r="D75" t="s">
        <v>500</v>
      </c>
      <c r="E75" t="s">
        <v>425</v>
      </c>
      <c r="F75" t="s">
        <v>426</v>
      </c>
      <c r="G75" t="s">
        <v>427</v>
      </c>
      <c r="H75" s="44">
        <v>45986</v>
      </c>
    </row>
    <row r="76" spans="1:9">
      <c r="A76" t="s">
        <v>441</v>
      </c>
      <c r="B76">
        <v>73</v>
      </c>
      <c r="C76" t="s">
        <v>440</v>
      </c>
      <c r="D76" t="s">
        <v>441</v>
      </c>
      <c r="E76" t="s">
        <v>444</v>
      </c>
      <c r="F76" t="s">
        <v>442</v>
      </c>
      <c r="G76" t="s">
        <v>443</v>
      </c>
      <c r="H76" s="44">
        <v>46086</v>
      </c>
    </row>
    <row r="77" spans="1:9">
      <c r="A77" t="s">
        <v>449</v>
      </c>
      <c r="B77">
        <v>74</v>
      </c>
      <c r="C77" t="s">
        <v>447</v>
      </c>
      <c r="D77" t="s">
        <v>449</v>
      </c>
      <c r="E77" t="s">
        <v>453</v>
      </c>
      <c r="F77" t="s">
        <v>454</v>
      </c>
      <c r="G77" t="s">
        <v>455</v>
      </c>
      <c r="H77" s="44">
        <v>46108</v>
      </c>
    </row>
    <row r="78" spans="1:9" ht="20.399999999999999">
      <c r="A78" t="s">
        <v>456</v>
      </c>
      <c r="B78">
        <v>75</v>
      </c>
      <c r="C78" t="s">
        <v>461</v>
      </c>
      <c r="D78" t="s">
        <v>456</v>
      </c>
      <c r="E78" t="s">
        <v>462</v>
      </c>
      <c r="F78" t="s">
        <v>463</v>
      </c>
      <c r="G78" t="s">
        <v>464</v>
      </c>
      <c r="H78" s="55">
        <v>46119</v>
      </c>
    </row>
    <row r="79" spans="1:9">
      <c r="A79" t="s">
        <v>481</v>
      </c>
      <c r="B79">
        <v>76</v>
      </c>
      <c r="C79" t="s">
        <v>480</v>
      </c>
      <c r="D79" t="s">
        <v>481</v>
      </c>
      <c r="E79" t="s">
        <v>482</v>
      </c>
      <c r="F79" t="s">
        <v>483</v>
      </c>
      <c r="G79" t="s">
        <v>484</v>
      </c>
      <c r="H79" s="56">
        <v>46129</v>
      </c>
    </row>
    <row r="80" spans="1:9">
      <c r="A80" t="s">
        <v>487</v>
      </c>
      <c r="B80">
        <v>77</v>
      </c>
      <c r="C80" t="s">
        <v>486</v>
      </c>
      <c r="D80" t="s">
        <v>487</v>
      </c>
      <c r="E80" t="s">
        <v>488</v>
      </c>
      <c r="F80" t="s">
        <v>489</v>
      </c>
      <c r="G80" t="s">
        <v>490</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workbookViewId="0">
      <selection activeCell="V24" sqref="V24"/>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387</v>
      </c>
      <c r="D2">
        <v>5071</v>
      </c>
      <c r="F2" t="s">
        <v>392</v>
      </c>
      <c r="G2">
        <v>3312</v>
      </c>
      <c r="J2">
        <v>106224</v>
      </c>
      <c r="Q2">
        <v>15388</v>
      </c>
    </row>
    <row r="3" spans="2:27">
      <c r="B3" t="s">
        <v>387</v>
      </c>
      <c r="D3">
        <v>675</v>
      </c>
      <c r="F3" t="s">
        <v>393</v>
      </c>
      <c r="G3">
        <v>2457</v>
      </c>
      <c r="J3">
        <v>57051</v>
      </c>
      <c r="O3" t="s">
        <v>398</v>
      </c>
      <c r="P3">
        <v>115764</v>
      </c>
      <c r="Q3">
        <v>106101</v>
      </c>
      <c r="R3" t="s">
        <v>401</v>
      </c>
    </row>
    <row r="4" spans="2:27">
      <c r="B4" t="s">
        <v>388</v>
      </c>
      <c r="D4">
        <v>2305</v>
      </c>
      <c r="F4" t="s">
        <v>394</v>
      </c>
      <c r="G4">
        <v>1280</v>
      </c>
      <c r="J4">
        <v>210000</v>
      </c>
      <c r="M4">
        <v>98199</v>
      </c>
      <c r="O4" t="s">
        <v>399</v>
      </c>
      <c r="P4">
        <v>215831</v>
      </c>
      <c r="Q4">
        <v>39500</v>
      </c>
      <c r="R4" t="s">
        <v>403</v>
      </c>
    </row>
    <row r="5" spans="2:27">
      <c r="B5" t="s">
        <v>388</v>
      </c>
      <c r="D5">
        <v>2325</v>
      </c>
      <c r="L5" t="s">
        <v>396</v>
      </c>
      <c r="M5">
        <v>181013</v>
      </c>
      <c r="O5" t="s">
        <v>400</v>
      </c>
      <c r="P5">
        <v>21646</v>
      </c>
      <c r="Q5">
        <v>20000</v>
      </c>
      <c r="R5" t="s">
        <v>402</v>
      </c>
      <c r="Y5">
        <v>2200</v>
      </c>
    </row>
    <row r="6" spans="2:27">
      <c r="B6" t="s">
        <v>388</v>
      </c>
      <c r="D6">
        <v>2327</v>
      </c>
      <c r="J6">
        <f>SUM(J2:J5)</f>
        <v>373275</v>
      </c>
      <c r="L6" t="s">
        <v>397</v>
      </c>
      <c r="M6">
        <v>68291</v>
      </c>
      <c r="O6" t="s">
        <v>401</v>
      </c>
      <c r="P6">
        <v>675</v>
      </c>
      <c r="Q6">
        <v>91230</v>
      </c>
      <c r="Y6">
        <v>21</v>
      </c>
    </row>
    <row r="7" spans="2:27">
      <c r="B7" t="s">
        <v>388</v>
      </c>
      <c r="D7">
        <v>2301</v>
      </c>
      <c r="M7">
        <f>SUM(M4:M6)</f>
        <v>347503</v>
      </c>
      <c r="P7">
        <f>SUM(P3:P6)</f>
        <v>353916</v>
      </c>
      <c r="Q7">
        <f>SUM(Q2:Q6)</f>
        <v>272219</v>
      </c>
      <c r="R7" s="46">
        <f>P7-Q7</f>
        <v>81697</v>
      </c>
      <c r="Y7">
        <v>7.5</v>
      </c>
    </row>
    <row r="8" spans="2:27">
      <c r="B8" t="s">
        <v>388</v>
      </c>
      <c r="D8">
        <v>2298</v>
      </c>
      <c r="J8">
        <v>106101</v>
      </c>
      <c r="Y8">
        <f>Y5*Y6*Y7</f>
        <v>346500</v>
      </c>
    </row>
    <row r="9" spans="2:27">
      <c r="B9" t="s">
        <v>388</v>
      </c>
      <c r="D9">
        <v>4443</v>
      </c>
      <c r="J9">
        <v>15388</v>
      </c>
    </row>
    <row r="10" spans="2:27">
      <c r="B10" t="s">
        <v>389</v>
      </c>
      <c r="D10">
        <v>12862</v>
      </c>
      <c r="J10">
        <v>45000</v>
      </c>
    </row>
    <row r="11" spans="2:27">
      <c r="B11" t="s">
        <v>390</v>
      </c>
      <c r="D11">
        <v>17490</v>
      </c>
      <c r="M11" t="s">
        <v>404</v>
      </c>
      <c r="O11" s="48">
        <v>1731</v>
      </c>
      <c r="Q11" s="47" t="s">
        <v>418</v>
      </c>
      <c r="S11" s="47"/>
      <c r="T11" s="48">
        <v>1527</v>
      </c>
    </row>
    <row r="12" spans="2:27">
      <c r="B12" t="s">
        <v>391</v>
      </c>
      <c r="D12">
        <v>2246</v>
      </c>
      <c r="J12">
        <f>SUM(J8:J11)</f>
        <v>166489</v>
      </c>
      <c r="M12" t="s">
        <v>405</v>
      </c>
      <c r="O12">
        <v>904</v>
      </c>
      <c r="Q12" s="47" t="s">
        <v>419</v>
      </c>
      <c r="T12" s="48">
        <v>3312</v>
      </c>
    </row>
    <row r="13" spans="2:27">
      <c r="J13">
        <v>20000</v>
      </c>
      <c r="M13" t="s">
        <v>406</v>
      </c>
      <c r="O13" s="49">
        <v>13310</v>
      </c>
    </row>
    <row r="14" spans="2:27">
      <c r="B14" t="s">
        <v>387</v>
      </c>
      <c r="D14">
        <f>SUMIF($B$2:$B$12,B14,($D$2:$D$12))</f>
        <v>5746</v>
      </c>
      <c r="E14" cm="1">
        <f t="array" ref="E14">SUMPRODUCT(($B$2:$B$12=B14)*($D$2:$D$12))</f>
        <v>5746</v>
      </c>
      <c r="J14">
        <v>45562</v>
      </c>
      <c r="M14" t="s">
        <v>407</v>
      </c>
      <c r="O14" s="48">
        <v>3854</v>
      </c>
    </row>
    <row r="15" spans="2:27" ht="17.399999999999999" thickBot="1">
      <c r="B15" t="s">
        <v>388</v>
      </c>
      <c r="D15">
        <f>SUMIF($B$2:$B$12,B15,($D$2:$D$12))</f>
        <v>15999</v>
      </c>
      <c r="E15" cm="1">
        <f t="array" ref="E15">SUMPRODUCT(($B$2:$B$12=B15)*($D$2:$D$12))</f>
        <v>15999</v>
      </c>
      <c r="J15">
        <f>SUM(J12:J14)</f>
        <v>232051</v>
      </c>
      <c r="M15" t="s">
        <v>408</v>
      </c>
      <c r="O15">
        <v>5900</v>
      </c>
      <c r="P15" t="s">
        <v>409</v>
      </c>
      <c r="Q15">
        <v>3600</v>
      </c>
    </row>
    <row r="16" spans="2:27" ht="18" thickTop="1" thickBot="1">
      <c r="B16" t="s">
        <v>390</v>
      </c>
      <c r="D16">
        <f t="shared" ref="D16:D17" si="0">SUMIF($B$2:$B$12,B16,($D$2:$D$12))</f>
        <v>17490</v>
      </c>
      <c r="E16" cm="1">
        <f t="array" ref="E16">SUMPRODUCT(($B$2:$B$12=B16)*($D$2:$D$12))</f>
        <v>17490</v>
      </c>
      <c r="J16">
        <f>J6-J15</f>
        <v>141224</v>
      </c>
      <c r="M16" t="s">
        <v>408</v>
      </c>
      <c r="O16" s="47">
        <v>370</v>
      </c>
      <c r="Q16">
        <f>Q15*R16</f>
        <v>50400</v>
      </c>
      <c r="R16">
        <v>14</v>
      </c>
      <c r="U16" s="72">
        <v>1200000</v>
      </c>
      <c r="V16" s="70">
        <f>U16*12</f>
        <v>14400000</v>
      </c>
      <c r="Y16" t="s">
        <v>537</v>
      </c>
      <c r="Z16" t="s">
        <v>538</v>
      </c>
      <c r="AA16" t="s">
        <v>541</v>
      </c>
    </row>
    <row r="17" spans="2:28" ht="17.399999999999999" thickTop="1">
      <c r="B17" t="s">
        <v>391</v>
      </c>
      <c r="D17">
        <f t="shared" si="0"/>
        <v>2246</v>
      </c>
      <c r="E17" cm="1">
        <f t="array" ref="E17">SUMPRODUCT(($B$2:$B$12=B17)*($D$2:$D$12))</f>
        <v>2246</v>
      </c>
      <c r="M17" s="47" t="s">
        <v>410</v>
      </c>
      <c r="O17" s="48">
        <v>12232</v>
      </c>
      <c r="P17" t="s">
        <v>409</v>
      </c>
      <c r="Q17">
        <f>Q16*R17</f>
        <v>403200</v>
      </c>
      <c r="R17">
        <v>8</v>
      </c>
      <c r="U17" s="70">
        <f>U16*V17</f>
        <v>1080000</v>
      </c>
      <c r="V17">
        <v>0.9</v>
      </c>
      <c r="W17" t="s">
        <v>533</v>
      </c>
      <c r="Y17">
        <v>430000</v>
      </c>
    </row>
    <row r="18" spans="2:28">
      <c r="D18">
        <f>SUM(D14:D17)</f>
        <v>41481</v>
      </c>
      <c r="E18">
        <f>SUM(E14:E17)</f>
        <v>41481</v>
      </c>
      <c r="M18" s="47" t="s">
        <v>411</v>
      </c>
      <c r="O18">
        <v>880</v>
      </c>
      <c r="P18" t="s">
        <v>412</v>
      </c>
      <c r="Q18">
        <f>Q17*12</f>
        <v>4838400</v>
      </c>
      <c r="U18" s="70">
        <f>U17/V18</f>
        <v>51428.571428571428</v>
      </c>
      <c r="V18" s="24">
        <v>21</v>
      </c>
      <c r="Y18" s="70">
        <f>U17*12-Y17</f>
        <v>12530000</v>
      </c>
      <c r="AA18" s="70">
        <f>U17*12</f>
        <v>12960000</v>
      </c>
    </row>
    <row r="19" spans="2:28">
      <c r="M19" s="47" t="s">
        <v>416</v>
      </c>
      <c r="O19">
        <v>2189</v>
      </c>
      <c r="Q19">
        <v>4040000</v>
      </c>
      <c r="U19" s="70">
        <f>U18/V19</f>
        <v>6857.1428571428569</v>
      </c>
      <c r="V19" s="71">
        <v>7.5</v>
      </c>
      <c r="W19" t="s">
        <v>534</v>
      </c>
      <c r="X19">
        <v>7.3899999999999993E-2</v>
      </c>
      <c r="Y19" s="70">
        <f>Y18*X19</f>
        <v>925966.99999999988</v>
      </c>
      <c r="Z19" s="70">
        <v>17010</v>
      </c>
      <c r="AA19" s="70">
        <v>430000</v>
      </c>
    </row>
    <row r="20" spans="2:28">
      <c r="B20" t="s">
        <v>395</v>
      </c>
      <c r="D20" s="45">
        <v>10</v>
      </c>
      <c r="M20" s="47" t="s">
        <v>413</v>
      </c>
      <c r="Q20" s="67">
        <f>(Q18-Q19)/12</f>
        <v>66533.333333333328</v>
      </c>
      <c r="U20" s="70"/>
      <c r="W20" t="s">
        <v>535</v>
      </c>
      <c r="X20">
        <v>2.4500000000000001E-2</v>
      </c>
      <c r="Y20" s="70">
        <f>Y18*X20</f>
        <v>306985</v>
      </c>
      <c r="Z20" s="74">
        <v>12</v>
      </c>
      <c r="AA20" s="70">
        <v>981000</v>
      </c>
    </row>
    <row r="21" spans="2:28">
      <c r="M21" s="47" t="s">
        <v>414</v>
      </c>
      <c r="O21" s="48">
        <v>1581</v>
      </c>
      <c r="W21" t="s">
        <v>536</v>
      </c>
      <c r="X21">
        <v>2.3300000000000001E-2</v>
      </c>
      <c r="Y21" s="73">
        <f>Y18*X21</f>
        <v>291949</v>
      </c>
      <c r="AA21" s="70">
        <f>AA18-AA19-AA20-Y22-Z22</f>
        <v>9819979</v>
      </c>
    </row>
    <row r="22" spans="2:28">
      <c r="M22" s="47" t="s">
        <v>415</v>
      </c>
      <c r="O22" s="47">
        <v>385</v>
      </c>
      <c r="Y22" s="70">
        <f>SUM(Y19:Y21)</f>
        <v>1524901</v>
      </c>
      <c r="Z22" s="70">
        <f>Z19*Z20</f>
        <v>204120</v>
      </c>
      <c r="AA22" s="70">
        <f>AA21*AB22</f>
        <v>981997.9</v>
      </c>
      <c r="AB22" s="75">
        <v>0.1</v>
      </c>
    </row>
    <row r="23" spans="2:28">
      <c r="M23" s="47" t="s">
        <v>417</v>
      </c>
      <c r="O23" s="48">
        <v>1397</v>
      </c>
      <c r="V23" t="s">
        <v>543</v>
      </c>
    </row>
    <row r="24" spans="2:28">
      <c r="M24" s="47" t="s">
        <v>418</v>
      </c>
      <c r="O24" s="48">
        <v>1527</v>
      </c>
      <c r="P24" s="48"/>
      <c r="Y24" t="s">
        <v>539</v>
      </c>
      <c r="Z24" s="76">
        <f>SUM(Y22:AA22)</f>
        <v>2711018.9</v>
      </c>
      <c r="AA24" t="s">
        <v>542</v>
      </c>
    </row>
    <row r="25" spans="2:28">
      <c r="M25" s="47" t="s">
        <v>419</v>
      </c>
      <c r="O25" s="48">
        <v>3312</v>
      </c>
      <c r="P25" s="48"/>
      <c r="Y25" t="s">
        <v>540</v>
      </c>
      <c r="Z25" s="70">
        <f>Y18-Z24</f>
        <v>9818981.0999999996</v>
      </c>
      <c r="AA25" s="70">
        <f>Z25/12</f>
        <v>818248.42499999993</v>
      </c>
    </row>
    <row r="26" spans="2:28">
      <c r="M26" s="47" t="s">
        <v>423</v>
      </c>
      <c r="O26" s="48">
        <v>2180</v>
      </c>
    </row>
    <row r="27" spans="2:28">
      <c r="M27" s="47" t="s">
        <v>437</v>
      </c>
      <c r="O27" s="48">
        <v>84962</v>
      </c>
    </row>
    <row r="28" spans="2:28">
      <c r="O28" s="48"/>
    </row>
    <row r="29" spans="2:28">
      <c r="O29" s="48"/>
    </row>
    <row r="30" spans="2:28">
      <c r="O30" s="49"/>
    </row>
    <row r="32" spans="2:28">
      <c r="O32">
        <f>P7-J2-J3-J4</f>
        <v>-19359</v>
      </c>
    </row>
    <row r="33" spans="15:16">
      <c r="O33" s="49"/>
    </row>
    <row r="34" spans="15:16">
      <c r="P34" s="49"/>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4"/>
  <sheetViews>
    <sheetView workbookViewId="0">
      <selection activeCell="I23" sqref="I23"/>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512</v>
      </c>
    </row>
    <row r="6" spans="2:10">
      <c r="B6" s="68" t="s">
        <v>524</v>
      </c>
    </row>
    <row r="7" spans="2:10">
      <c r="B7" s="58"/>
    </row>
    <row r="8" spans="2:10">
      <c r="B8" s="69" t="s">
        <v>525</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受取開始日本日2026年7月14日（火）受取可能です。(都合の良い時システム室で受取)</v>
      </c>
    </row>
    <row r="11" spans="2:10">
      <c r="B11" s="59"/>
    </row>
    <row r="12" spans="2:10">
      <c r="B12" s="60" t="s">
        <v>520</v>
      </c>
      <c r="J12" s="51" t="s">
        <v>521</v>
      </c>
    </row>
    <row r="13" spans="2:10">
      <c r="B13" s="59"/>
    </row>
    <row r="14" spans="2:10">
      <c r="B14" s="51" t="s">
        <v>510</v>
      </c>
      <c r="E14" s="64" t="s">
        <v>511</v>
      </c>
    </row>
    <row r="15" spans="2:10">
      <c r="B15" s="59"/>
    </row>
    <row r="16" spans="2:10">
      <c r="B16" s="59"/>
    </row>
    <row r="17" spans="2:11">
      <c r="B17" s="59"/>
    </row>
    <row r="18" spans="2:11">
      <c r="B18" s="69" t="s">
        <v>527</v>
      </c>
    </row>
    <row r="19" spans="2:11">
      <c r="B19" s="59"/>
    </row>
    <row r="20" spans="2:11">
      <c r="B20" s="60" t="s">
        <v>526</v>
      </c>
      <c r="I20" s="51" t="s">
        <v>522</v>
      </c>
      <c r="J20" s="51" t="s">
        <v>523</v>
      </c>
      <c r="K20" s="51"/>
    </row>
    <row r="21" spans="2:11">
      <c r="B21" s="60"/>
      <c r="I21" s="51"/>
      <c r="J21" s="51"/>
      <c r="K21" s="51"/>
    </row>
    <row r="22" spans="2:11">
      <c r="B22" s="60"/>
      <c r="I22" s="68" t="s">
        <v>528</v>
      </c>
    </row>
    <row r="23" spans="2:11">
      <c r="B23" s="58"/>
    </row>
    <row r="24" spans="2:11">
      <c r="B24" s="65" t="s">
        <v>517</v>
      </c>
    </row>
    <row r="25" spans="2:11">
      <c r="B25" s="59"/>
    </row>
    <row r="26" spans="2:11">
      <c r="B26" s="60" t="str">
        <f>"回収対象機： "&amp;貼付!G13</f>
        <v>回収対象機： OK04-A1-PC0</v>
      </c>
    </row>
    <row r="27" spans="2:11">
      <c r="B27" s="59"/>
    </row>
    <row r="28" spans="2:11">
      <c r="B28" s="60" t="str">
        <f ca="1">"回収期限： "&amp;貼付!C12&amp;"年"&amp;貼付!D12&amp;"月"&amp;貼付!E11&amp;"日("&amp;貼付!G12&amp;")"</f>
        <v>回収期限： 2026年7月14日(火)</v>
      </c>
    </row>
    <row r="29" spans="2:11">
      <c r="B29" s="59"/>
    </row>
    <row r="30" spans="2:11">
      <c r="B30" s="60" t="s">
        <v>502</v>
      </c>
    </row>
    <row r="31" spans="2:11">
      <c r="B31" s="59"/>
    </row>
    <row r="32" spans="2:11">
      <c r="B32" s="60" t="s">
        <v>503</v>
      </c>
    </row>
    <row r="33" spans="2:2">
      <c r="B33" s="62"/>
    </row>
    <row r="34" spans="2:2">
      <c r="B34" s="62" t="s">
        <v>504</v>
      </c>
    </row>
    <row r="35" spans="2:2">
      <c r="B35" s="62"/>
    </row>
    <row r="36" spans="2:2">
      <c r="B36" s="62" t="s">
        <v>505</v>
      </c>
    </row>
    <row r="37" spans="2:2">
      <c r="B37" s="62"/>
    </row>
    <row r="38" spans="2:2">
      <c r="B38" s="62" t="s">
        <v>506</v>
      </c>
    </row>
    <row r="39" spans="2:2">
      <c r="B39" s="58"/>
    </row>
    <row r="40" spans="2:2">
      <c r="B40" s="65" t="s">
        <v>518</v>
      </c>
    </row>
    <row r="41" spans="2:2">
      <c r="B41" s="58" t="s">
        <v>519</v>
      </c>
    </row>
    <row r="42" spans="2:2">
      <c r="B42" s="58" t="s">
        <v>507</v>
      </c>
    </row>
    <row r="43" spans="2:2">
      <c r="B43" s="58"/>
    </row>
    <row r="44" spans="2:2" ht="39">
      <c r="B44" s="61"/>
    </row>
  </sheetData>
  <phoneticPr fontId="6"/>
  <hyperlinks>
    <hyperlink ref="B14" r:id="rId1" display="初期設定：DMS手順" xr:uid="{E1D4BB11-159E-4A17-B89F-5161B0A07885}"/>
    <hyperlink ref="J12" r:id="rId2" xr:uid="{7BC2BD53-8707-425F-BBB5-87795CC50391}"/>
    <hyperlink ref="I20" r:id="rId3" xr:uid="{B5DD03D9-9D2D-4B4A-B48B-9AE1715DB24C}"/>
    <hyperlink ref="J20" r:id="rId4" xr:uid="{9E801939-AC70-442B-8EDA-061FF403CA19}"/>
  </hyperlinks>
  <pageMargins left="0.7" right="0.7" top="0.75" bottom="0.75" header="0.3" footer="0.3"/>
  <pageSetup paperSize="9" scale="69" fitToHeight="0"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貼付</vt:lpstr>
      <vt:lpstr>Sheet1</vt:lpstr>
      <vt:lpstr>社員名</vt:lpstr>
      <vt:lpstr>Sheet3</vt:lpstr>
      <vt:lpstr>Sheet4</vt:lpstr>
      <vt:lpstr>Sheet1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2026-07-14T02:04:56Z</dcterms:modified>
  <cp:category/>
  <cp:contentStatus/>
</cp:coreProperties>
</file>