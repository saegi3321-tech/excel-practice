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aedat5\projects\excel-practice\"/>
    </mc:Choice>
  </mc:AlternateContent>
  <xr:revisionPtr revIDLastSave="0" documentId="13_ncr:1_{5C1112E1-594A-464F-AB15-2FC9449BD4DF}" xr6:coauthVersionLast="47" xr6:coauthVersionMax="47" xr10:uidLastSave="{00000000-0000-0000-0000-000000000000}"/>
  <bookViews>
    <workbookView xWindow="-108" yWindow="-108" windowWidth="23256" windowHeight="12456" activeTab="7" xr2:uid="{681043B5-0530-452D-907A-FFFA48892B47}"/>
  </bookViews>
  <sheets>
    <sheet name="貼付" sheetId="5" r:id="rId1"/>
    <sheet name="Sheet1" sheetId="1" r:id="rId2"/>
    <sheet name="社員名" sheetId="2" r:id="rId3"/>
    <sheet name="Sheet3" sheetId="3" r:id="rId4"/>
    <sheet name="Sheet4" sheetId="4" r:id="rId5"/>
    <sheet name="Sheet1 (2)" sheetId="6" r:id="rId6"/>
    <sheet name="PC受渡し案内(ロードマップ)" sheetId="7" r:id="rId7"/>
    <sheet name="Sheet2" sheetId="8" r:id="rId8"/>
  </sheets>
  <definedNames>
    <definedName name="_xleta.MONTH" hidden="1" xlm="1">#NAME?</definedName>
    <definedName name="_xleta.SUM" hidden="1" xlm="1">#NAME?</definedName>
    <definedName name="_xleta.TEXT" hidden="1" xlm="1">#NAME?</definedName>
    <definedName name="_xleta.TO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8" l="1"/>
  <c r="B3" i="8"/>
  <c r="I11" i="5"/>
  <c r="D12" i="5" s="1"/>
  <c r="B3" i="7"/>
  <c r="I7" i="5"/>
  <c r="H7" i="5"/>
  <c r="J7" i="5"/>
  <c r="H8" i="5"/>
  <c r="I8" i="5"/>
  <c r="J8" i="5"/>
  <c r="D33" i="1"/>
  <c r="U17" i="4"/>
  <c r="U18" i="4" s="1"/>
  <c r="U19" i="4" s="1"/>
  <c r="Z22" i="4"/>
  <c r="V16" i="4"/>
  <c r="P7" i="4"/>
  <c r="O32" i="4" s="1"/>
  <c r="J6" i="5"/>
  <c r="I6" i="5"/>
  <c r="H6" i="5"/>
  <c r="C6" i="5"/>
  <c r="D7" i="5"/>
  <c r="C7" i="5"/>
  <c r="B7" i="5"/>
  <c r="Q16" i="4"/>
  <c r="Q17" i="4" s="1"/>
  <c r="Q18" i="4" s="1"/>
  <c r="Q20" i="4" s="1"/>
  <c r="G13" i="5"/>
  <c r="B30" i="6" s="1"/>
  <c r="E11" i="5"/>
  <c r="D11" i="5"/>
  <c r="C11" i="5"/>
  <c r="C10" i="5"/>
  <c r="B2" i="6" s="1"/>
  <c r="F61" i="1"/>
  <c r="H61" i="1"/>
  <c r="G61" i="1"/>
  <c r="D6" i="5"/>
  <c r="B6" i="5"/>
  <c r="M7" i="4"/>
  <c r="P20" i="1"/>
  <c r="P22" i="1"/>
  <c r="R21" i="1"/>
  <c r="P21" i="1" s="1"/>
  <c r="Y8" i="4"/>
  <c r="H24" i="1"/>
  <c r="N18" i="1"/>
  <c r="H23" i="1"/>
  <c r="H22" i="1"/>
  <c r="H21" i="1"/>
  <c r="H20" i="1"/>
  <c r="K20" i="1"/>
  <c r="J20" i="1"/>
  <c r="Q7" i="4"/>
  <c r="J12" i="4"/>
  <c r="J15" i="4" s="1"/>
  <c r="J6" i="4"/>
  <c r="E15" i="4" a="1"/>
  <c r="E15" i="4" s="1"/>
  <c r="E16" i="4" a="1"/>
  <c r="E16" i="4" s="1"/>
  <c r="E17" i="4" a="1"/>
  <c r="E17" i="4" s="1"/>
  <c r="E14" i="4" a="1"/>
  <c r="E14" i="4" s="1"/>
  <c r="D16" i="4"/>
  <c r="D17" i="4"/>
  <c r="D15" i="4"/>
  <c r="D14" i="4"/>
  <c r="A66" i="1"/>
  <c r="C12" i="5" l="1"/>
  <c r="E12" i="5"/>
  <c r="N63" i="8" s="1"/>
  <c r="D35" i="1"/>
  <c r="AA18" i="4"/>
  <c r="Y18" i="4"/>
  <c r="D18" i="4"/>
  <c r="J16" i="4"/>
  <c r="E18" i="4"/>
  <c r="G11" i="5"/>
  <c r="B10" i="6" s="1"/>
  <c r="R7" i="4"/>
  <c r="C10" i="1"/>
  <c r="I20" i="1"/>
  <c r="F22" i="1"/>
  <c r="D22" i="1" s="1"/>
  <c r="C13" i="1"/>
  <c r="E24" i="1" s="1"/>
  <c r="C12" i="1"/>
  <c r="E23" i="1" s="1"/>
  <c r="C11" i="1"/>
  <c r="E22" i="1" s="1"/>
  <c r="C9" i="1"/>
  <c r="E20" i="1" s="1"/>
  <c r="I21" i="1"/>
  <c r="J21" i="1"/>
  <c r="K21" i="1"/>
  <c r="I22" i="1"/>
  <c r="J22" i="1"/>
  <c r="K22" i="1"/>
  <c r="I23" i="1"/>
  <c r="J23" i="1"/>
  <c r="K23" i="1"/>
  <c r="I24" i="1"/>
  <c r="J24" i="1"/>
  <c r="K24" i="1"/>
  <c r="F20" i="1"/>
  <c r="D20" i="1" s="1"/>
  <c r="A11" i="1" s="1"/>
  <c r="P24" i="1"/>
  <c r="G23" i="1" s="1"/>
  <c r="P23" i="1"/>
  <c r="G22" i="1" s="1"/>
  <c r="G21" i="1"/>
  <c r="G20" i="1"/>
  <c r="G24" i="1"/>
  <c r="R9" i="1"/>
  <c r="R10" i="1"/>
  <c r="R8" i="1"/>
  <c r="D8" i="1"/>
  <c r="B12" i="1"/>
  <c r="B2" i="1"/>
  <c r="D2" i="1" s="1"/>
  <c r="B8" i="1"/>
  <c r="G12" i="5" l="1"/>
  <c r="B32" i="6" s="1"/>
  <c r="Y21" i="4"/>
  <c r="Y20" i="4"/>
  <c r="Y19" i="4"/>
  <c r="D39" i="1"/>
  <c r="A49" i="1" s="1"/>
  <c r="E21" i="1"/>
  <c r="Y22" i="4" l="1"/>
  <c r="AA21" i="4" s="1"/>
  <c r="AA22" i="4" s="1"/>
  <c r="Z24" i="4" s="1"/>
  <c r="Z25" i="4" s="1"/>
  <c r="AA25" i="4" s="1"/>
  <c r="F21" i="1"/>
  <c r="D21" i="1" s="1"/>
  <c r="F24" i="1"/>
  <c r="D24" i="1" s="1"/>
  <c r="F23" i="1"/>
  <c r="D23" i="1" s="1"/>
  <c r="A45" i="1"/>
  <c r="J18" i="1"/>
  <c r="K3" i="1"/>
  <c r="L3" i="1"/>
  <c r="M3" i="1"/>
  <c r="B4" i="1"/>
  <c r="C5" i="1" s="1"/>
  <c r="A27" i="1" l="1"/>
  <c r="D26" i="1"/>
  <c r="D36" i="1" s="1"/>
  <c r="A24" i="1" s="1"/>
  <c r="B3" i="1"/>
  <c r="D3" i="1" s="1"/>
  <c r="H2" i="1"/>
  <c r="G2" i="1"/>
  <c r="J2" i="1"/>
  <c r="I2" i="1"/>
  <c r="C2" i="1"/>
  <c r="F2" i="1"/>
  <c r="E2" i="1"/>
  <c r="I3" i="1" l="1"/>
  <c r="H3" i="1"/>
  <c r="E3" i="1"/>
  <c r="G3" i="1"/>
  <c r="F3" i="1"/>
  <c r="J3" i="1"/>
  <c r="C3" i="1"/>
  <c r="E25" i="1" l="1"/>
  <c r="A22" i="1" s="1"/>
  <c r="A62" i="1" l="1"/>
  <c r="A41" i="1"/>
  <c r="D29" i="1"/>
  <c r="A23" i="1" s="1"/>
  <c r="D30" i="1"/>
  <c r="A46" i="1"/>
  <c r="A68" i="1" l="1"/>
  <c r="A48"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<sst xmlns="http://schemas.openxmlformats.org/spreadsheetml/2006/main" count="896" uniqueCount="708">
  <si>
    <t>today</t>
    <phoneticPr fontId="7"/>
  </si>
  <si>
    <t>start</t>
    <phoneticPr fontId="7"/>
  </si>
  <si>
    <t>end</t>
    <phoneticPr fontId="7"/>
  </si>
  <si>
    <t>period</t>
  </si>
  <si>
    <t>有効期間：</t>
  </si>
  <si>
    <t>100日間</t>
  </si>
  <si>
    <t>有効期限：</t>
  </si>
  <si>
    <t>検索語句</t>
    <rPh sb="0" eb="2">
      <t>ケンサク</t>
    </rPh>
    <rPh sb="2" eb="4">
      <t>ゴク</t>
    </rPh>
    <phoneticPr fontId="7"/>
  </si>
  <si>
    <t>更新貼付</t>
    <rPh sb="0" eb="2">
      <t>コウシン</t>
    </rPh>
    <rPh sb="2" eb="3">
      <t>ハ</t>
    </rPh>
    <rPh sb="3" eb="4">
      <t>ツ</t>
    </rPh>
    <phoneticPr fontId="7"/>
  </si>
  <si>
    <t>氏名</t>
  </si>
  <si>
    <r>
      <rPr>
        <sz val="11"/>
        <color rgb="FFFF0000"/>
        <rFont val="Yu Gothic UI"/>
        <family val="3"/>
        <charset val="128"/>
      </rPr>
      <t>更新後</t>
    </r>
    <r>
      <rPr>
        <sz val="11"/>
        <color theme="1"/>
        <rFont val="Yu Gothic UI"/>
        <family val="2"/>
        <charset val="128"/>
      </rPr>
      <t>の有効期限</t>
    </r>
    <phoneticPr fontId="7"/>
  </si>
  <si>
    <t>有効期間</t>
  </si>
  <si>
    <t>おつかれさまです。</t>
    <phoneticPr fontId="7"/>
  </si>
  <si>
    <t>有効期限が更新された利用者：</t>
  </si>
  <si>
    <t>更新後の有効期限</t>
  </si>
  <si>
    <t>2025年 1月 4日</t>
    <phoneticPr fontId="7"/>
  </si>
  <si>
    <t>2025年 3月 7日</t>
  </si>
  <si>
    <t>2025年 1月 4日</t>
  </si>
  <si>
    <t>万の位</t>
    <rPh sb="0" eb="1">
      <t>マン</t>
    </rPh>
    <rPh sb="2" eb="3">
      <t>クライ</t>
    </rPh>
    <phoneticPr fontId="7"/>
  </si>
  <si>
    <t>千の位</t>
    <rPh sb="0" eb="1">
      <t>セン</t>
    </rPh>
    <rPh sb="2" eb="3">
      <t>クライ</t>
    </rPh>
    <phoneticPr fontId="7"/>
  </si>
  <si>
    <t>スケジュール</t>
    <phoneticPr fontId="7"/>
  </si>
  <si>
    <t>※メールアドレスに伴うリモートアクセスの設定変更はございません。</t>
    <rPh sb="9" eb="10">
      <t>トモナ</t>
    </rPh>
    <rPh sb="20" eb="22">
      <t>セッテイ</t>
    </rPh>
    <rPh sb="22" eb="24">
      <t>ヘンコウ</t>
    </rPh>
    <phoneticPr fontId="7"/>
  </si>
  <si>
    <t>ワークフロー</t>
    <phoneticPr fontId="7"/>
  </si>
  <si>
    <t>※IDパスがお忘れの場合もこちらのアカウントにご連絡お願いします。</t>
    <rPh sb="7" eb="8">
      <t>ワス</t>
    </rPh>
    <rPh sb="10" eb="12">
      <t>バアイ</t>
    </rPh>
    <rPh sb="24" eb="26">
      <t>レンラク</t>
    </rPh>
    <rPh sb="27" eb="28">
      <t>ネガ</t>
    </rPh>
    <phoneticPr fontId="7"/>
  </si>
  <si>
    <t>よろしくお願いいたします。</t>
  </si>
  <si>
    <t>※ご利用最終日に近づきましたら、延長が必要な場合には再申請お願いいたします。</t>
    <rPh sb="2" eb="4">
      <t>リヨウ</t>
    </rPh>
    <rPh sb="4" eb="7">
      <t>サイシュウビ</t>
    </rPh>
    <rPh sb="8" eb="9">
      <t>チカ</t>
    </rPh>
    <rPh sb="16" eb="18">
      <t>エンチョウ</t>
    </rPh>
    <rPh sb="19" eb="21">
      <t>ヒツヨウ</t>
    </rPh>
    <rPh sb="22" eb="24">
      <t>バアイ</t>
    </rPh>
    <phoneticPr fontId="7"/>
  </si>
  <si>
    <t>BeatAccess IDの送付について</t>
    <phoneticPr fontId="7"/>
  </si>
  <si>
    <t>DTEシステム室受付窓口 前田です。</t>
    <rPh sb="13" eb="15">
      <t>マエダ</t>
    </rPh>
    <phoneticPr fontId="7"/>
  </si>
  <si>
    <t>このIDは、BeatAccessのサービスご利用とにサイトログインする際に必要となりますので、</t>
    <rPh sb="22" eb="24">
      <t>リヨウ</t>
    </rPh>
    <phoneticPr fontId="7"/>
  </si>
  <si>
    <t>大切に保管してください。また、セキュリティのため、他人と共有しないようお願いいたします。</t>
    <rPh sb="0" eb="1">
      <t>ダイ</t>
    </rPh>
    <phoneticPr fontId="7"/>
  </si>
  <si>
    <t>よろしくお願いいたします。</t>
    <phoneticPr fontId="7"/>
  </si>
  <si>
    <t>DTEシステム室受付窓口　前田です。</t>
    <rPh sb="13" eb="15">
      <t>マエダ</t>
    </rPh>
    <phoneticPr fontId="7"/>
  </si>
  <si>
    <t>このPASSWORDは、BeatAccessのサービスご利用とにサイトログインする際に必要となりますので、</t>
    <rPh sb="28" eb="30">
      <t>リヨウ</t>
    </rPh>
    <phoneticPr fontId="7"/>
  </si>
  <si>
    <t>利用者の情報</t>
  </si>
  <si>
    <t>Ｎo.</t>
  </si>
  <si>
    <t>ログインID</t>
  </si>
  <si>
    <t>ふりがな</t>
  </si>
  <si>
    <t>パスワード</t>
  </si>
  <si>
    <t>メールアドレス</t>
  </si>
  <si>
    <t>hideki_akazawa</t>
  </si>
  <si>
    <t>taisei_kawakami</t>
  </si>
  <si>
    <t>かわかみ　たいせい</t>
  </si>
  <si>
    <t>RxqlNkjw</t>
  </si>
  <si>
    <t>kiyonoe</t>
  </si>
  <si>
    <t>きよの　えりか</t>
  </si>
  <si>
    <t>9ck4STwR</t>
  </si>
  <si>
    <t>aiko_koarashi</t>
  </si>
  <si>
    <t>koarashi2002</t>
  </si>
  <si>
    <t>sousuke_tanimoto</t>
  </si>
  <si>
    <t>souya_haruna</t>
  </si>
  <si>
    <t>akira_moritani</t>
  </si>
  <si>
    <t>yoshinakar</t>
  </si>
  <si>
    <t>FILIA000</t>
  </si>
  <si>
    <t>yoshinakar@dowatec.co.jp</t>
  </si>
  <si>
    <t>tomoya_azaki</t>
  </si>
  <si>
    <t>Pb73Zm6S</t>
  </si>
  <si>
    <t>yoshinobu_inai</t>
  </si>
  <si>
    <t>c3SJ65gf</t>
  </si>
  <si>
    <t>naoto_kamo</t>
  </si>
  <si>
    <t>P8aQvb6H</t>
  </si>
  <si>
    <t>takaaki_natsui</t>
  </si>
  <si>
    <t>iK8hsEQX</t>
  </si>
  <si>
    <t>tomotaka_kamada</t>
  </si>
  <si>
    <t>Q9v25jdV</t>
  </si>
  <si>
    <t>kishi</t>
  </si>
  <si>
    <t>haruki_yoshida</t>
  </si>
  <si>
    <t>X2yVb5n8</t>
  </si>
  <si>
    <t>hiroshi_miyaoka</t>
  </si>
  <si>
    <t>H9k6ed2V</t>
  </si>
  <si>
    <t>tomoyuki_kirimoto</t>
  </si>
  <si>
    <t>S4ruxEaf</t>
  </si>
  <si>
    <t>takahiro_kanehira</t>
  </si>
  <si>
    <t>fH4YKtqa</t>
  </si>
  <si>
    <t>ryuku_furukawa</t>
  </si>
  <si>
    <t>Sv8BhEaF</t>
  </si>
  <si>
    <t>tatsuhiko_isochi</t>
  </si>
  <si>
    <t>jW68QZMw</t>
  </si>
  <si>
    <t>toshiki_mitsui</t>
  </si>
  <si>
    <t>x6NKmz2g</t>
  </si>
  <si>
    <t>kouhei_kai</t>
  </si>
  <si>
    <t>yukio_araki</t>
  </si>
  <si>
    <t>EyiJA4NE</t>
  </si>
  <si>
    <t>atsushi_kurooka</t>
  </si>
  <si>
    <t>e2PW8iUy</t>
  </si>
  <si>
    <t>ryou_kurosaki</t>
  </si>
  <si>
    <t>jN5DZumY</t>
  </si>
  <si>
    <t>hiroki_sakata</t>
  </si>
  <si>
    <t>tetsuya_mikasa</t>
  </si>
  <si>
    <t>C5xMFntS</t>
  </si>
  <si>
    <t>ryohei_yamasaki</t>
  </si>
  <si>
    <t>Nc6WUZxM</t>
  </si>
  <si>
    <t>ryohei_yamasaki@dowatec.co.jp</t>
  </si>
  <si>
    <t>toshihiro_ichinari</t>
  </si>
  <si>
    <t>Za2wcfXE</t>
  </si>
  <si>
    <t>akiyamay</t>
  </si>
  <si>
    <t>あきやま　ゆうすけ</t>
  </si>
  <si>
    <t>akiyuki_koniwa</t>
  </si>
  <si>
    <t>cK5GR4ys</t>
  </si>
  <si>
    <t>miyuu_matsuda</t>
  </si>
  <si>
    <t>A8w9Fqe6</t>
  </si>
  <si>
    <t>kazuaki_morihiro</t>
  </si>
  <si>
    <t>森廣 和明</t>
  </si>
  <si>
    <t>Na4XL2uw</t>
  </si>
  <si>
    <t>susukih</t>
  </si>
  <si>
    <t>Jk5pSCUD</t>
  </si>
  <si>
    <t>kanato_sejima</t>
  </si>
  <si>
    <t>せじま　かなと</t>
  </si>
  <si>
    <t>FiehgAHz</t>
  </si>
  <si>
    <t>aoyamah</t>
  </si>
  <si>
    <t>aoyamah3@dowa.co.jp</t>
  </si>
  <si>
    <t>yuki_kawabuchi</t>
  </si>
  <si>
    <t>Y3d6MwSz</t>
  </si>
  <si>
    <t>shinichi_maeda</t>
  </si>
  <si>
    <t>p7ATBZ9s</t>
  </si>
  <si>
    <t>maedat</t>
  </si>
  <si>
    <t>まえだ　たくお</t>
  </si>
  <si>
    <t>4EkjmeFz</t>
  </si>
  <si>
    <t>yuusuke_murai</t>
  </si>
  <si>
    <t>a5UHmXgp</t>
  </si>
  <si>
    <t>syouhei_omura</t>
  </si>
  <si>
    <t>h3FzTJCi</t>
  </si>
  <si>
    <t>kohichi_taru</t>
  </si>
  <si>
    <t>Wx8XEeGu</t>
  </si>
  <si>
    <t>harumichi_takeuchi</t>
  </si>
  <si>
    <t>q6EYieDt</t>
  </si>
  <si>
    <t>taichi_nakagiri</t>
  </si>
  <si>
    <t>c6QHyqhA</t>
  </si>
  <si>
    <t>mizuki_nakamura</t>
  </si>
  <si>
    <t>kenta_nakazawa</t>
  </si>
  <si>
    <t>Ke7LUpWZ</t>
  </si>
  <si>
    <t>hiroki_tsuji</t>
  </si>
  <si>
    <t>hB4tEH6F</t>
  </si>
  <si>
    <t>naoya_tsuboi</t>
  </si>
  <si>
    <t>nao1990</t>
  </si>
  <si>
    <t>yuto_tasaka</t>
  </si>
  <si>
    <t>たさか　ゆうと</t>
  </si>
  <si>
    <t>Th2ER7tq</t>
  </si>
  <si>
    <t>koji_tanaka</t>
  </si>
  <si>
    <t>Zk3z7g9V</t>
  </si>
  <si>
    <t>wataru_tanaka</t>
  </si>
  <si>
    <t>w5RKnfu2</t>
  </si>
  <si>
    <t>masato_watanabe</t>
  </si>
  <si>
    <t>mN79VvCz</t>
  </si>
  <si>
    <t>yoshiyuki_fujiwara</t>
  </si>
  <si>
    <t>J5apWE4k</t>
  </si>
  <si>
    <t>kouhei_shirayama</t>
  </si>
  <si>
    <t>Dg3Lf9qF</t>
  </si>
  <si>
    <t>masaya_shiraga</t>
  </si>
  <si>
    <t>r7DwUhfG</t>
  </si>
  <si>
    <t>tetsuya_fukumitsu</t>
  </si>
  <si>
    <t>takaharu_hiraoka</t>
  </si>
  <si>
    <t>hagah</t>
  </si>
  <si>
    <t>mV37bWXe</t>
  </si>
  <si>
    <t>haruya_kitai</t>
  </si>
  <si>
    <t>ZgNtBbKm</t>
  </si>
  <si>
    <t>masaki_jitsumori</t>
  </si>
  <si>
    <t>b6V9QDtx</t>
  </si>
  <si>
    <t>masanori_takami</t>
  </si>
  <si>
    <t>Vz782TXB</t>
  </si>
  <si>
    <t>kosei_morimoto</t>
  </si>
  <si>
    <t>27TLdFqM</t>
  </si>
  <si>
    <t>morimok5@dowa.co.jp</t>
  </si>
  <si>
    <t>kota_matsumoto</t>
  </si>
  <si>
    <t>まつもと　こうた</t>
  </si>
  <si>
    <t>matsumk8@dowa.co.jp</t>
  </si>
  <si>
    <t>松本　皓汰</t>
  </si>
  <si>
    <t>nfRLmeRH</t>
  </si>
  <si>
    <t>takuya_fujita</t>
  </si>
  <si>
    <t>ふじた　たくや</t>
  </si>
  <si>
    <t>7YafzkHZ</t>
  </si>
  <si>
    <t>fujitat7@dowa.co.jp</t>
  </si>
  <si>
    <t>氏名：</t>
  </si>
  <si>
    <t>4文字姓</t>
    <rPh sb="1" eb="3">
      <t>モジ</t>
    </rPh>
    <rPh sb="3" eb="4">
      <t>セイ</t>
    </rPh>
    <phoneticPr fontId="7"/>
  </si>
  <si>
    <t>100日未満</t>
    <rPh sb="3" eb="4">
      <t>ニチ</t>
    </rPh>
    <rPh sb="4" eb="6">
      <t>ミマン</t>
    </rPh>
    <phoneticPr fontId="7"/>
  </si>
  <si>
    <t>2025年 8月20日</t>
  </si>
  <si>
    <t>新規分割</t>
    <rPh sb="0" eb="2">
      <t>シンキ</t>
    </rPh>
    <rPh sb="2" eb="4">
      <t>ブンカツ</t>
    </rPh>
    <phoneticPr fontId="7"/>
  </si>
  <si>
    <t>新規一本</t>
    <rPh sb="0" eb="2">
      <t>シンキ</t>
    </rPh>
    <rPh sb="2" eb="4">
      <t>イッポン</t>
    </rPh>
    <phoneticPr fontId="7"/>
  </si>
  <si>
    <t>１＝新規(列記）</t>
    <rPh sb="2" eb="4">
      <t>シンキ</t>
    </rPh>
    <rPh sb="5" eb="7">
      <t>レッキ</t>
    </rPh>
    <phoneticPr fontId="7"/>
  </si>
  <si>
    <t>２＝新規(分割）</t>
    <rPh sb="2" eb="4">
      <t>シンキ</t>
    </rPh>
    <rPh sb="5" eb="7">
      <t>ブンカツ</t>
    </rPh>
    <phoneticPr fontId="7"/>
  </si>
  <si>
    <t>０＝延長</t>
    <rPh sb="2" eb="4">
      <t>エンチョウ</t>
    </rPh>
    <phoneticPr fontId="7"/>
  </si>
  <si>
    <t>取得数</t>
    <rPh sb="0" eb="2">
      <t>シュトク</t>
    </rPh>
    <rPh sb="2" eb="3">
      <t>スウ</t>
    </rPh>
    <phoneticPr fontId="7"/>
  </si>
  <si>
    <t>直線入力</t>
    <rPh sb="0" eb="2">
      <t>チョクセン</t>
    </rPh>
    <rPh sb="2" eb="4">
      <t>ニュウリョク</t>
    </rPh>
    <phoneticPr fontId="7"/>
  </si>
  <si>
    <t>g9DDnyHQ</t>
  </si>
  <si>
    <t>藤田　拓也</t>
  </si>
  <si>
    <t>taichi_egusa</t>
  </si>
  <si>
    <t>えぐさ たいち</t>
  </si>
  <si>
    <t>egusat@dowa.co.jp</t>
  </si>
  <si>
    <t>kenji_morita</t>
  </si>
  <si>
    <t>もりた　けんじ</t>
  </si>
  <si>
    <t>zFFyTNbd</t>
  </si>
  <si>
    <t>moritak3@dowa.co.jp</t>
  </si>
  <si>
    <t>sota_yamamoto</t>
  </si>
  <si>
    <t>山本　蒼大</t>
  </si>
  <si>
    <t>やまもと　そうた</t>
  </si>
  <si>
    <t>KdHdf2La</t>
  </si>
  <si>
    <t>yamams10@dowa.co.jp</t>
  </si>
  <si>
    <t>tamio_iwabuchi</t>
  </si>
  <si>
    <t>いわぶち　たみお</t>
  </si>
  <si>
    <t>K2eiBGa4</t>
  </si>
  <si>
    <t>iwabuct2@dowa.co.jp</t>
  </si>
  <si>
    <t>青山　陽哉　</t>
  </si>
  <si>
    <t>あおやま　はるや</t>
  </si>
  <si>
    <t>赤沢　英樹</t>
  </si>
  <si>
    <t>あかざわ　ひでき</t>
  </si>
  <si>
    <t>akazawah@dowa.co.jp</t>
  </si>
  <si>
    <t>秋山　雄介</t>
  </si>
  <si>
    <t>akiyay1@dowa.co.jp</t>
  </si>
  <si>
    <t>阿崎　智也</t>
  </si>
  <si>
    <t>あざき　ともや</t>
  </si>
  <si>
    <t>azakit@dowa.co.jp</t>
  </si>
  <si>
    <t>荒木　佑貴夫</t>
  </si>
  <si>
    <t>あらき　ゆきお</t>
  </si>
  <si>
    <t>arakiy@dowa.co.jp</t>
  </si>
  <si>
    <t>五十地　龍彦</t>
  </si>
  <si>
    <t>いそち　たつひこ</t>
  </si>
  <si>
    <t>isochit@dowa.co.jp</t>
  </si>
  <si>
    <t>市成　年弘</t>
  </si>
  <si>
    <t>いちなり　としひろ</t>
  </si>
  <si>
    <t>ichinart@dowa.co.jp</t>
  </si>
  <si>
    <t>稲井　佳暢</t>
  </si>
  <si>
    <t>いない　よしのぶ</t>
  </si>
  <si>
    <t>inaiy@dowa.co.jp</t>
  </si>
  <si>
    <t>大村　祥平</t>
  </si>
  <si>
    <t>おおむら　しょうへい</t>
  </si>
  <si>
    <t>oomuras1@dowa.co.jp</t>
  </si>
  <si>
    <t>甲斐　康平</t>
  </si>
  <si>
    <t>かい　こうへい</t>
  </si>
  <si>
    <t>kaik@dowa.co.jp</t>
  </si>
  <si>
    <t>金平　孝博</t>
  </si>
  <si>
    <t>かねひら　たかひろ</t>
  </si>
  <si>
    <t>kanehirt@dowa.co.jp</t>
  </si>
  <si>
    <t>鎌田　知孝</t>
  </si>
  <si>
    <t>かまだ　ともたか</t>
  </si>
  <si>
    <t>kamadat1@dowa.co.jp</t>
  </si>
  <si>
    <t>加茂　直人</t>
  </si>
  <si>
    <t>かも　なおと</t>
  </si>
  <si>
    <t>kamon@dowa.co.jp</t>
  </si>
  <si>
    <t>河上　泰生</t>
  </si>
  <si>
    <t>kawakat1@dowa.co.jp</t>
  </si>
  <si>
    <t>川淵　佑樹</t>
  </si>
  <si>
    <t>かわぶち　ゆうき</t>
  </si>
  <si>
    <t>kawabucy@dowa.co.jp</t>
  </si>
  <si>
    <t>岸　一彦</t>
  </si>
  <si>
    <t>きし　かずひこ</t>
  </si>
  <si>
    <t>kishik3@dowa.co.jp</t>
  </si>
  <si>
    <t>北井　晴也</t>
  </si>
  <si>
    <t>きたい　はるや</t>
  </si>
  <si>
    <t>kitaih@dowa.co.jp</t>
  </si>
  <si>
    <t>清野　恵理香</t>
  </si>
  <si>
    <t>kiyonoe@dowa.co.jp</t>
  </si>
  <si>
    <t>桐本　知幸</t>
  </si>
  <si>
    <t>きりもと　ともゆき</t>
  </si>
  <si>
    <t>kirimott@dowa.co.jp</t>
  </si>
  <si>
    <t>黒岡　敦史</t>
  </si>
  <si>
    <t>くろおか　あつし</t>
  </si>
  <si>
    <t>kurookaa@dowa.co.jp</t>
  </si>
  <si>
    <t>黒﨑　凌</t>
  </si>
  <si>
    <t>くろさき　りょう</t>
  </si>
  <si>
    <t>kurosakr@dowa.co.jp</t>
  </si>
  <si>
    <t>小嵐　愛子</t>
  </si>
  <si>
    <t>こあらし　あいこ</t>
  </si>
  <si>
    <t>koarasha@dowa.co.jp</t>
  </si>
  <si>
    <t>高性能　デスクトップ用1</t>
  </si>
  <si>
    <t>こうせいのう　ですくとっぷいち</t>
  </si>
  <si>
    <t>小庭　昭之</t>
  </si>
  <si>
    <t>こにわ　あきゆき</t>
  </si>
  <si>
    <t>koniwaa@dowa.co.jp</t>
  </si>
  <si>
    <t>坂田　大貴</t>
  </si>
  <si>
    <t>さかた　ひろき</t>
  </si>
  <si>
    <t>sakatah@dowa.co.jp</t>
  </si>
  <si>
    <t>實盛　将城</t>
  </si>
  <si>
    <t>じつもり　まさき</t>
  </si>
  <si>
    <t>jitsumm@dowa.co.jp</t>
  </si>
  <si>
    <t>白神　昌弥</t>
  </si>
  <si>
    <t>しらが　まさや</t>
  </si>
  <si>
    <t>shiragm1@dowa.co.jp</t>
  </si>
  <si>
    <t>白山　紘平</t>
  </si>
  <si>
    <t>しらやま　こうへい</t>
  </si>
  <si>
    <t>shirayak@dowa.co.jp</t>
  </si>
  <si>
    <t>須々木　秀行</t>
  </si>
  <si>
    <t>すすき　ひでゆき</t>
  </si>
  <si>
    <t>susukih@dowa.co.jp</t>
  </si>
  <si>
    <t>瀬島　奏音</t>
  </si>
  <si>
    <t>sejimak@dowa.co.jp</t>
  </si>
  <si>
    <t>髙見　允基</t>
  </si>
  <si>
    <t>たかみ　まさのり</t>
  </si>
  <si>
    <t>takamim@dowa.co.jp</t>
  </si>
  <si>
    <t>竹内　陽道</t>
  </si>
  <si>
    <t>たけうち　はるみち</t>
  </si>
  <si>
    <t>takeuch1@dowa.co.jp</t>
  </si>
  <si>
    <t>田坂　勇人</t>
  </si>
  <si>
    <t>tasakay@dowa.co.jp</t>
  </si>
  <si>
    <t>田中　浩二</t>
  </si>
  <si>
    <t>たなか　こうじ</t>
  </si>
  <si>
    <t>tanakak3@dowa.co.jp</t>
  </si>
  <si>
    <t>田中　航</t>
  </si>
  <si>
    <t>たなか　わたる</t>
  </si>
  <si>
    <t>tanakaw@dowa.co.jp</t>
  </si>
  <si>
    <t>谷本　宗佑</t>
  </si>
  <si>
    <t>たにもと　そうすけ</t>
  </si>
  <si>
    <t>tanimots@dowa.co.jp</t>
  </si>
  <si>
    <t>樽　孝一</t>
  </si>
  <si>
    <t>たる　こういち</t>
  </si>
  <si>
    <t>taruk@dowa.co.jp</t>
  </si>
  <si>
    <t>辻　浩輝</t>
  </si>
  <si>
    <t>つじ　ひろき</t>
  </si>
  <si>
    <t>tsujih@dowa.co.jp</t>
  </si>
  <si>
    <t>坪井　直也</t>
  </si>
  <si>
    <t>つぼい　なおや</t>
  </si>
  <si>
    <t>tsuboin@dowa.co.jp</t>
  </si>
  <si>
    <t>中桐　太一</t>
  </si>
  <si>
    <t>なかぎり　たいち</t>
  </si>
  <si>
    <t>nakagit@dowa.co.jp</t>
  </si>
  <si>
    <t>仲澤　健太</t>
  </si>
  <si>
    <t>なかざわ　けんた</t>
  </si>
  <si>
    <t>nakazak2@dowa.co.jp</t>
  </si>
  <si>
    <t>中村　瑞樹</t>
  </si>
  <si>
    <t>なかむら　みずき</t>
  </si>
  <si>
    <t>nakamum0@dowa.co.jp</t>
  </si>
  <si>
    <t>夏井　崇彰</t>
  </si>
  <si>
    <t>なつい　たかあき</t>
  </si>
  <si>
    <t>natsuit@dowa.co.jp</t>
  </si>
  <si>
    <t>芳賀　英人</t>
  </si>
  <si>
    <t>はが　ひでと</t>
  </si>
  <si>
    <t>hagah@dowa.co.jp</t>
  </si>
  <si>
    <t>masamichi_hachiya</t>
  </si>
  <si>
    <t>蜂谷　正道</t>
  </si>
  <si>
    <t>はちや　まさみち</t>
  </si>
  <si>
    <t>hachiyam@dowa.co.jp</t>
  </si>
  <si>
    <t>春名　創哉　</t>
  </si>
  <si>
    <t>はるな　そうや</t>
  </si>
  <si>
    <t>harunas@dowa.co.jp</t>
  </si>
  <si>
    <t>春名　創哉</t>
  </si>
  <si>
    <t>平岡　隆治</t>
  </si>
  <si>
    <t>ひらおか　たかはる</t>
  </si>
  <si>
    <t>hiraokt1@dowa.co.jp</t>
  </si>
  <si>
    <t>福光　哲也</t>
  </si>
  <si>
    <t>ふくみつ　てつや</t>
  </si>
  <si>
    <t>fukumitt@dowa.co.jp</t>
  </si>
  <si>
    <t>藤原　昌之</t>
  </si>
  <si>
    <t>ふじわら　よしゆき</t>
  </si>
  <si>
    <t>fujiwary@dowa.co.jp</t>
  </si>
  <si>
    <t>古川　留久</t>
  </si>
  <si>
    <t>ふるかわ　りゅうく</t>
  </si>
  <si>
    <t>furukawr@dowa.co.jp</t>
  </si>
  <si>
    <t>前田　慎一</t>
  </si>
  <si>
    <t>まえだ　しんいち</t>
  </si>
  <si>
    <t>maedas3@dowa.co.jp</t>
  </si>
  <si>
    <t>前田　卓大</t>
  </si>
  <si>
    <t>maedat5@dowa.co.jp</t>
  </si>
  <si>
    <t>松田　穂優</t>
  </si>
  <si>
    <t>まつだ　みゆう</t>
  </si>
  <si>
    <t>matsudm@dowa.co.jp</t>
  </si>
  <si>
    <t>三笠　哲也</t>
  </si>
  <si>
    <t>みかさ　てつや</t>
  </si>
  <si>
    <t>mikasat@dowa.co.jp</t>
  </si>
  <si>
    <t>光井　俊貴</t>
  </si>
  <si>
    <t>みつい　としき</t>
  </si>
  <si>
    <t>mitsuit@dowa.co.jp</t>
  </si>
  <si>
    <t>宮岡　博</t>
  </si>
  <si>
    <t>みやおか　ひろし</t>
  </si>
  <si>
    <t>miyaokah@dowa.co.jp</t>
  </si>
  <si>
    <t>村井　優介</t>
  </si>
  <si>
    <t>むらい　ゆうすけ</t>
  </si>
  <si>
    <t>muraiy1@dowa.co.jp</t>
  </si>
  <si>
    <t>守谷　明</t>
  </si>
  <si>
    <t>もりたに　あきら</t>
  </si>
  <si>
    <t>moritana@dowa.co.jp</t>
  </si>
  <si>
    <t>森廣　和明</t>
  </si>
  <si>
    <t>もりひろ　かずあき</t>
  </si>
  <si>
    <t>morihik1@dowa.co.jp</t>
  </si>
  <si>
    <t>森本　航成</t>
  </si>
  <si>
    <t>もりもと　こうせい</t>
  </si>
  <si>
    <t>山崎　涼平</t>
  </si>
  <si>
    <t>やまさき　りょうへい</t>
  </si>
  <si>
    <t>吉田　陽葵</t>
  </si>
  <si>
    <t>よしだ　はるき</t>
  </si>
  <si>
    <t>yoshidh2@dowa.co.jp</t>
  </si>
  <si>
    <t>吉中　良輔</t>
  </si>
  <si>
    <t>よしなか　りょうすけ</t>
  </si>
  <si>
    <t>yosinakr@dowa.co.jp</t>
  </si>
  <si>
    <t>渡邉　将人</t>
  </si>
  <si>
    <t>わたなべ　まさと</t>
  </si>
  <si>
    <t>watanam2@dowa.co.jp</t>
  </si>
  <si>
    <t xml:space="preserve"> BeatAccess ID/PASSWORDの送付について</t>
    <phoneticPr fontId="7"/>
  </si>
  <si>
    <t>氏名：加茂 直人有効期間：100日間有効期限：2026年 1月18日</t>
  </si>
  <si>
    <t>Midjourney</t>
    <phoneticPr fontId="7"/>
  </si>
  <si>
    <t>heyGen</t>
    <phoneticPr fontId="7"/>
  </si>
  <si>
    <t>DistroKid</t>
    <phoneticPr fontId="7"/>
  </si>
  <si>
    <t>Kint</t>
    <phoneticPr fontId="7"/>
  </si>
  <si>
    <t>Pollo.ai</t>
    <phoneticPr fontId="7"/>
  </si>
  <si>
    <t>ChatGPT</t>
    <phoneticPr fontId="7"/>
  </si>
  <si>
    <t>AEONMobile</t>
    <phoneticPr fontId="7"/>
  </si>
  <si>
    <t>YouTubePremimum</t>
    <phoneticPr fontId="7"/>
  </si>
  <si>
    <t>suno</t>
    <phoneticPr fontId="7"/>
  </si>
  <si>
    <t>三井</t>
    <rPh sb="0" eb="2">
      <t>ミツイ</t>
    </rPh>
    <phoneticPr fontId="7"/>
  </si>
  <si>
    <t>PAYPAY</t>
    <phoneticPr fontId="7"/>
  </si>
  <si>
    <t>トマト</t>
    <phoneticPr fontId="7"/>
  </si>
  <si>
    <t>ゆうちょ</t>
    <phoneticPr fontId="7"/>
  </si>
  <si>
    <t>みずほ</t>
    <phoneticPr fontId="7"/>
  </si>
  <si>
    <t>SMBC</t>
    <phoneticPr fontId="7"/>
  </si>
  <si>
    <t>確定拠出年金</t>
    <rPh sb="0" eb="4">
      <t>カクテイキョシュツ</t>
    </rPh>
    <rPh sb="4" eb="6">
      <t>ネンキン</t>
    </rPh>
    <phoneticPr fontId="7"/>
  </si>
  <si>
    <t>家賃</t>
    <rPh sb="0" eb="2">
      <t>ヤチン</t>
    </rPh>
    <phoneticPr fontId="7"/>
  </si>
  <si>
    <t>seikyouONLINE</t>
    <phoneticPr fontId="7"/>
  </si>
  <si>
    <t>Ｍｉｃｒｏｓｏｆｔ</t>
  </si>
  <si>
    <t>KONAMI</t>
    <phoneticPr fontId="7"/>
  </si>
  <si>
    <t>エックスモバイル</t>
    <phoneticPr fontId="7"/>
  </si>
  <si>
    <t>Ａｍａｚｏｎプライム会費</t>
  </si>
  <si>
    <t>★</t>
    <phoneticPr fontId="7"/>
  </si>
  <si>
    <t>マネ－フォワ－ドクラウド</t>
  </si>
  <si>
    <t>まぐまぐ！</t>
  </si>
  <si>
    <t>中島</t>
    <rPh sb="0" eb="2">
      <t>ナカジマ</t>
    </rPh>
    <phoneticPr fontId="7"/>
  </si>
  <si>
    <t>ＧＯＯＧＬＥ　＊ＹｏｕＴｕｂｅＰｒｅｍｉ</t>
  </si>
  <si>
    <t>ソフトバンクM</t>
    <phoneticPr fontId="7"/>
  </si>
  <si>
    <t>RADIKO エリアフリー</t>
    <phoneticPr fontId="7"/>
  </si>
  <si>
    <t>ユ－ネクストサ－ビス利用料</t>
  </si>
  <si>
    <t>Ｕ－ＮＥＸＴ</t>
  </si>
  <si>
    <t>SUNO INC. 6017417866</t>
  </si>
  <si>
    <t>OPENAI *CHATGPT SUBSCR 4158799686</t>
  </si>
  <si>
    <t>瀬島 奏音</t>
  </si>
  <si>
    <t>2026年 2月 6日</t>
  </si>
  <si>
    <t>松田 穂優</t>
  </si>
  <si>
    <t>CupCut</t>
    <phoneticPr fontId="7"/>
  </si>
  <si>
    <t>shingo_hama</t>
  </si>
  <si>
    <t>はま　しんご</t>
  </si>
  <si>
    <t>MdH34HJi</t>
  </si>
  <si>
    <t>hamas@dowa.co.jp</t>
  </si>
  <si>
    <t>接続定義ファイルを送付させていただきます。</t>
    <phoneticPr fontId="7"/>
  </si>
  <si>
    <t>事前に接続を確認しておいてください。</t>
    <rPh sb="0" eb="2">
      <t>ジゼン</t>
    </rPh>
    <rPh sb="3" eb="5">
      <t>セツゾク</t>
    </rPh>
    <rPh sb="6" eb="8">
      <t>カクニン</t>
    </rPh>
    <phoneticPr fontId="7"/>
  </si>
  <si>
    <t>新規</t>
    <rPh sb="0" eb="2">
      <t>シンキ</t>
    </rPh>
    <phoneticPr fontId="7"/>
  </si>
  <si>
    <t>■事前接続確認のお願い</t>
    <rPh sb="1" eb="3">
      <t>ジゼン</t>
    </rPh>
    <rPh sb="3" eb="5">
      <t>セツゾク</t>
    </rPh>
    <rPh sb="5" eb="7">
      <t>カクニン</t>
    </rPh>
    <rPh sb="9" eb="10">
      <t>ネガ</t>
    </rPh>
    <phoneticPr fontId="7"/>
  </si>
  <si>
    <t>樽 孝一</t>
  </si>
  <si>
    <t>2026年 4月15日</t>
  </si>
  <si>
    <t>2026年 4月25日</t>
  </si>
  <si>
    <t>田中 航</t>
  </si>
  <si>
    <t>Olive クレジットモード</t>
    <phoneticPr fontId="7"/>
  </si>
  <si>
    <t>https://www.fujifilm.com/fb/support/service/beat/tech/ras</t>
    <phoneticPr fontId="7"/>
  </si>
  <si>
    <t>接続定義ファイル送付のお知らせ(BeatAccessアプリ更新のお願い）</t>
    <rPh sb="0" eb="2">
      <t>セツゾク</t>
    </rPh>
    <rPh sb="2" eb="4">
      <t>テイギ</t>
    </rPh>
    <rPh sb="8" eb="10">
      <t>ソウフ</t>
    </rPh>
    <rPh sb="12" eb="13">
      <t>シ</t>
    </rPh>
    <rPh sb="29" eb="31">
      <t>コウシン</t>
    </rPh>
    <rPh sb="33" eb="34">
      <t>ネガ</t>
    </rPh>
    <phoneticPr fontId="7"/>
  </si>
  <si>
    <t>hinata_sakamoto</t>
  </si>
  <si>
    <t>坂元　陽向</t>
  </si>
  <si>
    <t>N5DFr9ZF</t>
  </si>
  <si>
    <t>sakamoh2@dowa.co.jp</t>
  </si>
  <si>
    <t>さかもと　ひなた</t>
  </si>
  <si>
    <t>福光 哲也</t>
  </si>
  <si>
    <t>光井 俊貴</t>
  </si>
  <si>
    <t>goki_ujike</t>
  </si>
  <si>
    <t>←更新した日に書き換えること</t>
  </si>
  <si>
    <t>氏家　豪紀</t>
  </si>
  <si>
    <t>B5tDDFTQ</t>
  </si>
  <si>
    <t>2024/12/5：396624</t>
  </si>
  <si>
    <t>2024/12/5：471279</t>
  </si>
  <si>
    <t>うじけ　ごうき</t>
  </si>
  <si>
    <t>mE69zbGD</t>
  </si>
  <si>
    <t>ujikeg@dowa.co.jp</t>
  </si>
  <si>
    <t>神原　圭貴</t>
  </si>
  <si>
    <t>森田　健次</t>
    <rPh sb="0" eb="1">
      <t>モリ</t>
    </rPh>
    <rPh sb="1" eb="2">
      <t>タ</t>
    </rPh>
    <rPh sb="3" eb="5">
      <t>ケンジ</t>
    </rPh>
    <phoneticPr fontId="6"/>
  </si>
  <si>
    <t xml:space="preserve">	岩渕　多美夫</t>
  </si>
  <si>
    <t>江草 太一</t>
    <rPh sb="0" eb="2">
      <t>エグサ</t>
    </rPh>
    <rPh sb="3" eb="5">
      <t>タイチ</t>
    </rPh>
    <phoneticPr fontId="6"/>
  </si>
  <si>
    <t>濵　晋吾</t>
    <rPh sb="0" eb="1">
      <t>ハマ</t>
    </rPh>
    <rPh sb="2" eb="4">
      <t>シンゴ</t>
    </rPh>
    <phoneticPr fontId="6"/>
  </si>
  <si>
    <t>yoshiki_kambara</t>
  </si>
  <si>
    <t>かんばら　よしき</t>
  </si>
  <si>
    <t>y5kD9NJZ</t>
  </si>
  <si>
    <t>kanbary1@dowa.co.jp</t>
  </si>
  <si>
    <t>2026年 7月26日</t>
  </si>
  <si>
    <t>辻 浩輝</t>
  </si>
  <si>
    <t>←更新した日に書き換えること</t>
    <rPh sb="1" eb="3">
      <t>コウシン</t>
    </rPh>
    <rPh sb="5" eb="6">
      <t>ヒ</t>
    </rPh>
    <rPh sb="7" eb="8">
      <t>カ</t>
    </rPh>
    <rPh sb="9" eb="10">
      <t>カ</t>
    </rPh>
    <phoneticPr fontId="6"/>
  </si>
  <si>
    <t>↓修正、追加時の日付を残すこと</t>
    <rPh sb="1" eb="3">
      <t>シュウセイ</t>
    </rPh>
    <rPh sb="4" eb="6">
      <t>ツイカ</t>
    </rPh>
    <rPh sb="6" eb="7">
      <t>ジ</t>
    </rPh>
    <rPh sb="8" eb="10">
      <t>ヒヅケ</t>
    </rPh>
    <rPh sb="11" eb="12">
      <t>ノコ</t>
    </rPh>
    <phoneticPr fontId="6"/>
  </si>
  <si>
    <t>備考</t>
    <rPh sb="0" eb="2">
      <t>ビコウ</t>
    </rPh>
    <phoneticPr fontId="6"/>
  </si>
  <si>
    <t>2023/12/14　追加</t>
    <rPh sb="11" eb="13">
      <t>ツイカ</t>
    </rPh>
    <phoneticPr fontId="6"/>
  </si>
  <si>
    <t>2024/10追加</t>
    <rPh sb="7" eb="9">
      <t>ツイカ</t>
    </rPh>
    <phoneticPr fontId="6"/>
  </si>
  <si>
    <t>2024/2/9パスワード設定</t>
    <rPh sb="13" eb="15">
      <t>セッテイ</t>
    </rPh>
    <phoneticPr fontId="6"/>
  </si>
  <si>
    <t>2025/7/7：再確認。パスワード不明。</t>
    <rPh sb="9" eb="12">
      <t>サイカクニン</t>
    </rPh>
    <rPh sb="18" eb="20">
      <t>フメイ</t>
    </rPh>
    <phoneticPr fontId="6"/>
  </si>
  <si>
    <t>2023/12/4　追加</t>
    <rPh sb="10" eb="12">
      <t>ツイカ</t>
    </rPh>
    <phoneticPr fontId="6"/>
  </si>
  <si>
    <t>2024/4/3追加</t>
    <rPh sb="8" eb="10">
      <t>ツイカ</t>
    </rPh>
    <phoneticPr fontId="6"/>
  </si>
  <si>
    <t>2025/4/14変更</t>
    <rPh sb="9" eb="11">
      <t>ヘンコウ</t>
    </rPh>
    <phoneticPr fontId="6"/>
  </si>
  <si>
    <t>2024/2/8追加</t>
    <rPh sb="8" eb="10">
      <t>ツイカ</t>
    </rPh>
    <phoneticPr fontId="6"/>
  </si>
  <si>
    <t>2025/8/4追加</t>
    <rPh sb="8" eb="10">
      <t>ツイカ</t>
    </rPh>
    <phoneticPr fontId="6"/>
  </si>
  <si>
    <t>2025/9/8追加</t>
    <rPh sb="8" eb="10">
      <t>ツイカ</t>
    </rPh>
    <phoneticPr fontId="6"/>
  </si>
  <si>
    <t>yuto_shimohara</t>
  </si>
  <si>
    <t>下原　悠人</t>
  </si>
  <si>
    <t>しもはら　ゆうと</t>
  </si>
  <si>
    <t>e9mgrAQM</t>
  </si>
  <si>
    <t>shimohy1@dowa.co.jp</t>
  </si>
  <si>
    <t>森本 航成</t>
  </si>
  <si>
    <t>hajime_takamura</t>
  </si>
  <si>
    <t>高村　元</t>
  </si>
  <si>
    <t>たかむら　はじめ</t>
  </si>
  <si>
    <t>3KybtZ7d</t>
  </si>
  <si>
    <t>takamuh1@dowa.co.jp</t>
  </si>
  <si>
    <t>Ctrl＋shift + Vではりつける</t>
    <phoneticPr fontId="7"/>
  </si>
  <si>
    <t>※スマホのテザリング・ポケットWi-Fi等で事前接続確認をお願いします。</t>
    <rPh sb="20" eb="21">
      <t>トウ</t>
    </rPh>
    <rPh sb="22" eb="24">
      <t>ジゼン</t>
    </rPh>
    <rPh sb="24" eb="26">
      <t>セツゾク</t>
    </rPh>
    <rPh sb="26" eb="28">
      <t>カクニン</t>
    </rPh>
    <rPh sb="30" eb="31">
      <t>ネガ</t>
    </rPh>
    <phoneticPr fontId="7"/>
  </si>
  <si>
    <r>
      <t>beat accessのアプリのバージョンアップもお願いします。(</t>
    </r>
    <r>
      <rPr>
        <b/>
        <sz val="11"/>
        <color rgb="FFFF0000"/>
        <rFont val="游ゴシック"/>
        <family val="3"/>
        <charset val="128"/>
      </rPr>
      <t>Beat access4.0.0</t>
    </r>
    <r>
      <rPr>
        <sz val="11"/>
        <rFont val="游ゴシック"/>
        <family val="3"/>
        <charset val="128"/>
      </rPr>
      <t>が最新バージョン</t>
    </r>
    <r>
      <rPr>
        <b/>
        <sz val="11"/>
        <color rgb="FFFF0000"/>
        <rFont val="游ゴシック"/>
        <family val="3"/>
        <charset val="128"/>
      </rPr>
      <t>）</t>
    </r>
    <rPh sb="26" eb="27">
      <t>ネガ</t>
    </rPh>
    <rPh sb="50" eb="52">
      <t>サイシン</t>
    </rPh>
    <phoneticPr fontId="7"/>
  </si>
  <si>
    <t>※リモートアクセスが外部（dowatec-wifi以外）からアクセスが前提です。</t>
    <rPh sb="10" eb="12">
      <t>ガイブ</t>
    </rPh>
    <rPh sb="25" eb="27">
      <t>イガイ</t>
    </rPh>
    <rPh sb="35" eb="37">
      <t>ゼンテイ</t>
    </rPh>
    <phoneticPr fontId="7"/>
  </si>
  <si>
    <t>simpc</t>
  </si>
  <si>
    <t>qZ9AHkM7</t>
  </si>
  <si>
    <t>森田　健次</t>
  </si>
  <si>
    <t>岩渕　多美夫</t>
  </si>
  <si>
    <t>江草 太一</t>
  </si>
  <si>
    <t>濵　晋吾</t>
  </si>
  <si>
    <t>2026年 9月19日</t>
  </si>
  <si>
    <r>
      <t>データ移行：</t>
    </r>
    <r>
      <rPr>
        <sz val="11"/>
        <color theme="1"/>
        <rFont val="Yu Gothic UI"/>
        <family val="2"/>
        <charset val="128"/>
      </rPr>
      <t xml:space="preserve"> OneDriveを使用（参考：[OneDriveのサインインと同期.mp4]）</t>
    </r>
  </si>
  <si>
    <t>【データ移行時の注意点】</t>
  </si>
  <si>
    <r>
      <t>1. 同期設定は</t>
    </r>
    <r>
      <rPr>
        <b/>
        <sz val="11"/>
        <color theme="1"/>
        <rFont val="游ゴシック"/>
        <family val="3"/>
        <charset val="128"/>
        <scheme val="minor"/>
      </rPr>
      <t>新旧両方のPC</t>
    </r>
    <r>
      <rPr>
        <sz val="11"/>
        <color theme="1"/>
        <rFont val="Yu Gothic UI"/>
        <family val="2"/>
        <charset val="128"/>
      </rPr>
      <t>で必要です。</t>
    </r>
  </si>
  <si>
    <t>2. 必ず**「旧PCの同期完了」⇒「新PCの同期開始」**の順で行ってください。</t>
  </si>
  <si>
    <t>3. 大容量ファイルはエラーになる可能性があるため、不安な場合は事前にご相談ください。</t>
  </si>
  <si>
    <t>以上、ご協力のほどよろしくお願いいたします。</t>
  </si>
  <si>
    <t>貸与パソコン</t>
    <rPh sb="0" eb="2">
      <t>タイヨ</t>
    </rPh>
    <phoneticPr fontId="7"/>
  </si>
  <si>
    <t>貸与日</t>
    <rPh sb="0" eb="2">
      <t>タイヨ</t>
    </rPh>
    <rPh sb="2" eb="3">
      <t>ビ</t>
    </rPh>
    <phoneticPr fontId="7"/>
  </si>
  <si>
    <t>　　初期設定：DMS手順</t>
    <phoneticPr fontId="7"/>
  </si>
  <si>
    <t>※Desknet's　ログイン必要</t>
    <rPh sb="15" eb="17">
      <t>ヒツヨウ</t>
    </rPh>
    <phoneticPr fontId="7"/>
  </si>
  <si>
    <t>以下の手順に従って、作業を進めてください。</t>
    <rPh sb="0" eb="2">
      <t>イカ</t>
    </rPh>
    <rPh sb="3" eb="5">
      <t>テジュン</t>
    </rPh>
    <rPh sb="6" eb="7">
      <t>シタガ</t>
    </rPh>
    <rPh sb="10" eb="12">
      <t>サギョウ</t>
    </rPh>
    <rPh sb="13" eb="14">
      <t>スス</t>
    </rPh>
    <phoneticPr fontId="7"/>
  </si>
  <si>
    <t>OK04-</t>
    <phoneticPr fontId="7"/>
  </si>
  <si>
    <t>A1</t>
    <phoneticPr fontId="7"/>
  </si>
  <si>
    <t>-PC0</t>
    <phoneticPr fontId="7"/>
  </si>
  <si>
    <t>回収</t>
    <rPh sb="0" eb="2">
      <t>カイシュウ</t>
    </rPh>
    <phoneticPr fontId="7"/>
  </si>
  <si>
    <r>
      <t xml:space="preserve">━━━━━━━━━━━━━━━━ </t>
    </r>
    <r>
      <rPr>
        <b/>
        <sz val="11"/>
        <color theme="1"/>
        <rFont val="游ゴシック"/>
        <family val="3"/>
        <charset val="128"/>
        <scheme val="minor"/>
      </rPr>
      <t>■ STEP 2：データ移行と旧パソコンの返却</t>
    </r>
    <r>
      <rPr>
        <sz val="11"/>
        <color theme="1"/>
        <rFont val="游ゴシック"/>
        <family val="2"/>
        <charset val="128"/>
      </rPr>
      <t xml:space="preserve"> ━━━━━━━━━━━━━━━━</t>
    </r>
    <phoneticPr fontId="7"/>
  </si>
  <si>
    <r>
      <t xml:space="preserve">━━━━━━━━━━━━━━━━ </t>
    </r>
    <r>
      <rPr>
        <b/>
        <sz val="11"/>
        <color theme="1"/>
        <rFont val="游ゴシック"/>
        <family val="3"/>
        <charset val="128"/>
        <scheme val="minor"/>
      </rPr>
      <t>■ 期限内の対応が難しい場合</t>
    </r>
    <r>
      <rPr>
        <sz val="11"/>
        <color theme="1"/>
        <rFont val="Yu Gothic UI"/>
        <family val="2"/>
        <charset val="128"/>
      </rPr>
      <t xml:space="preserve"> ━━━━━━━━━━━━━━━━</t>
    </r>
    <phoneticPr fontId="7"/>
  </si>
  <si>
    <t xml:space="preserve"> 万が一、期限までの対応が難しい場合は、事前にこのメールに**「全員に返信（CCは残す）」**で、理由をご連絡ください。</t>
  </si>
  <si>
    <r>
      <t>利用開始手順：</t>
    </r>
    <r>
      <rPr>
        <sz val="11"/>
        <color theme="1"/>
        <rFont val="游ゴシック"/>
        <family val="2"/>
        <charset val="128"/>
      </rPr>
      <t xml:space="preserve"> [パソコンの利用開始手順について.pdf] ※SharePoint要ログイン</t>
    </r>
    <rPh sb="18" eb="20">
      <t>テジュン</t>
    </rPh>
    <phoneticPr fontId="7"/>
  </si>
  <si>
    <t>こちら</t>
  </si>
  <si>
    <t>アプリ</t>
  </si>
  <si>
    <t>プリンタ</t>
  </si>
  <si>
    <t>DOWA-PC自体の設定と周辺機器の設定（プリンター・scan・スマホ・tech）があります。</t>
    <rPh sb="7" eb="9">
      <t>ジタイ</t>
    </rPh>
    <rPh sb="10" eb="12">
      <t>セッテイ</t>
    </rPh>
    <rPh sb="13" eb="17">
      <t>シュウヘンキキ</t>
    </rPh>
    <rPh sb="18" eb="20">
      <t>セッテイ</t>
    </rPh>
    <phoneticPr fontId="7"/>
  </si>
  <si>
    <r>
      <t xml:space="preserve">━━━━━━━━━━━━━━━━ </t>
    </r>
    <r>
      <rPr>
        <b/>
        <sz val="11"/>
        <color theme="1"/>
        <rFont val="游ゴシック"/>
        <family val="3"/>
        <charset val="128"/>
        <scheme val="minor"/>
      </rPr>
      <t>■ STEP 1：新DOWAパソコンの受取と初期設定</t>
    </r>
    <r>
      <rPr>
        <sz val="11"/>
        <color theme="1"/>
        <rFont val="游ゴシック"/>
        <family val="2"/>
        <charset val="128"/>
      </rPr>
      <t xml:space="preserve"> ━━━━━━━━━━━━━━━━</t>
    </r>
    <phoneticPr fontId="7"/>
  </si>
  <si>
    <r>
      <t>その他マニュアル：</t>
    </r>
    <r>
      <rPr>
        <sz val="11"/>
        <color theme="1"/>
        <rFont val="Yu Gothic UI"/>
        <family val="2"/>
        <charset val="128"/>
      </rPr>
      <t xml:space="preserve"> [システム室マニュアル]（プリンタ・基幹システム設定等）</t>
    </r>
    <phoneticPr fontId="7"/>
  </si>
  <si>
    <t>ネットワーク</t>
    <phoneticPr fontId="7"/>
  </si>
  <si>
    <t>シリアル値</t>
    <rPh sb="4" eb="5">
      <t>チ</t>
    </rPh>
    <phoneticPr fontId="7"/>
  </si>
  <si>
    <t>基礎控除</t>
    <rPh sb="0" eb="4">
      <t>キソコウジョ</t>
    </rPh>
    <phoneticPr fontId="7"/>
  </si>
  <si>
    <t>医療分</t>
    <rPh sb="0" eb="3">
      <t>イリョウブン</t>
    </rPh>
    <phoneticPr fontId="7"/>
  </si>
  <si>
    <t>支援分</t>
    <rPh sb="0" eb="3">
      <t>シエンブン</t>
    </rPh>
    <phoneticPr fontId="7"/>
  </si>
  <si>
    <t>介護分</t>
    <rPh sb="0" eb="3">
      <t>カイゴブン</t>
    </rPh>
    <phoneticPr fontId="7"/>
  </si>
  <si>
    <t>国民保険料</t>
    <rPh sb="0" eb="2">
      <t>コクミン</t>
    </rPh>
    <rPh sb="2" eb="5">
      <t>ホケンリョウ</t>
    </rPh>
    <phoneticPr fontId="7"/>
  </si>
  <si>
    <t>国民年金保険料</t>
    <rPh sb="0" eb="4">
      <t>コクミンネンキン</t>
    </rPh>
    <rPh sb="4" eb="7">
      <t>ホケンリョウ</t>
    </rPh>
    <phoneticPr fontId="7"/>
  </si>
  <si>
    <t>支払計</t>
    <rPh sb="0" eb="2">
      <t>シハラ</t>
    </rPh>
    <rPh sb="2" eb="3">
      <t>ケイ</t>
    </rPh>
    <phoneticPr fontId="7"/>
  </si>
  <si>
    <t>手取り</t>
    <rPh sb="0" eb="2">
      <t>テド</t>
    </rPh>
    <phoneticPr fontId="7"/>
  </si>
  <si>
    <t>市民税・県民税</t>
    <rPh sb="0" eb="3">
      <t>シミンゼイ</t>
    </rPh>
    <rPh sb="4" eb="7">
      <t>ケンミンゼイ</t>
    </rPh>
    <phoneticPr fontId="7"/>
  </si>
  <si>
    <t>月手取り</t>
    <rPh sb="0" eb="1">
      <t>ツキ</t>
    </rPh>
    <rPh sb="1" eb="3">
      <t>テド</t>
    </rPh>
    <phoneticPr fontId="7"/>
  </si>
  <si>
    <t>※所得税がかかります。</t>
    <rPh sb="1" eb="4">
      <t>ショトクゼイ</t>
    </rPh>
    <phoneticPr fontId="7"/>
  </si>
  <si>
    <t>黒岡 敦史</t>
  </si>
  <si>
    <t>田坂 勇人</t>
  </si>
  <si>
    <t>松本 皓汰</t>
  </si>
  <si>
    <t>2026年10月24日</t>
  </si>
  <si>
    <t>五十地 龍彦</t>
  </si>
  <si>
    <t>━━━━━━━━━━━━━━━━━━━━</t>
  </si>
  <si>
    <t>途中で困ったら？</t>
  </si>
  <si>
    <t>　　↓</t>
  </si>
  <si>
    <t>おつかれさまです。</t>
  </si>
  <si>
    <r>
      <t xml:space="preserve">━━━━━━━━━━━━━━━━ </t>
    </r>
    <r>
      <rPr>
        <b/>
        <sz val="11"/>
        <color theme="1"/>
        <rFont val="游ゴシック"/>
        <family val="3"/>
        <charset val="128"/>
        <scheme val="minor"/>
      </rPr>
      <t>■ STEP 3：テックパソコンでの初期設定</t>
    </r>
    <r>
      <rPr>
        <sz val="11"/>
        <color theme="1"/>
        <rFont val="游ゴシック"/>
        <family val="2"/>
        <charset val="128"/>
      </rPr>
      <t xml:space="preserve"> ━━━━━━━━━━━━━━━━</t>
    </r>
    <phoneticPr fontId="7"/>
  </si>
  <si>
    <r>
      <t xml:space="preserve">━━━━━━━━━━━━━━━━ </t>
    </r>
    <r>
      <rPr>
        <b/>
        <sz val="11"/>
        <color theme="1"/>
        <rFont val="游ゴシック"/>
        <family val="3"/>
        <charset val="128"/>
        <scheme val="minor"/>
      </rPr>
      <t>■ STEP ２：DOWANET利用設定</t>
    </r>
    <r>
      <rPr>
        <sz val="11"/>
        <color theme="1"/>
        <rFont val="游ゴシック"/>
        <family val="2"/>
        <charset val="128"/>
      </rPr>
      <t xml:space="preserve"> ━━━━━━━━━━━━━━━━</t>
    </r>
    <rPh sb="33" eb="35">
      <t>リヨウ</t>
    </rPh>
    <phoneticPr fontId="7"/>
  </si>
  <si>
    <t>■全体の流れ</t>
  </si>
  <si>
    <t>【STEP 2】初回起動と、ご自身で対応いただく設定</t>
  </si>
  <si>
    <t>【STEP 3】データ移行と旧パソコンの返却</t>
  </si>
  <si>
    <t>・ご都合のよいタイミングでシステム室まで取りに来てください。</t>
  </si>
  <si>
    <t>【STEP 2：初回起動と、ご自身で対応いただく設定】</t>
  </si>
  <si>
    <t>■まずはPCへのサインイン</t>
  </si>
  <si>
    <t>■Office・Outlook</t>
  </si>
  <si>
    <t>■PLANT（共有フォルダ）</t>
  </si>
  <si>
    <t>■Teams・Webex</t>
  </si>
  <si>
    <t>■desknet's NEO</t>
  </si>
  <si>
    <t>・DOWAネットワーク接続上で、証明書を使ってログインしてご利用いただきます。お使いの場合は初回起動時に設定をお願いします。</t>
  </si>
  <si>
    <t>■Edge</t>
  </si>
  <si>
    <t>・ブックマーク・パスワードの引き継ぎについては別途ご案内します。</t>
  </si>
  <si>
    <t>・以前起動時に固定タブを使っていた場合は、新PCでも同じ設定をお願いします。</t>
  </si>
  <si>
    <t>■CybozuDesktop</t>
  </si>
  <si>
    <t>・お使いの場合は初回起動時に設定をお願いします。</t>
  </si>
  <si>
    <t>【ネットワークについての補足】</t>
  </si>
  <si>
    <t>日常の業務（concur、sap、company、intramartなどの基幹アプリを含む）は、有線（DOWANET）接続で問題なくご利用いただけます。</t>
  </si>
  <si>
    <t>DOWANET接続時にパスワード変更を求められたら、案内に従って変更をお願いします。</t>
  </si>
  <si>
    <t>・対象の旧パソコン：OK04-A1-PC0</t>
  </si>
  <si>
    <t>・返却期限：（別途ご案内します）</t>
  </si>
  <si>
    <t>・データはOneDriveを使って新PCに移します。やり方はこちらの動画が参考になります：[OneDriveのサインインと同期.mp4]</t>
  </si>
  <si>
    <t>・注意点は3つだけです。</t>
  </si>
  <si>
    <t>　１. 旧・新どちらのPCでも同期の設定が必要です。</t>
  </si>
  <si>
    <t>　２. 先に「旧PCの同期を完了」させてから、「新PCの同期を開始」してください。</t>
  </si>
  <si>
    <t>　３. ファイルが大きい場合はうまく移行できないことがありますので、不安なときは事前にご相談ください。</t>
  </si>
  <si>
    <t>・どのステップでも、不明な点があれば遠慮なくご連絡ください。</t>
  </si>
  <si>
    <t>・返却期限（STEP3）までに対応が難しそうな場合は、事前にこのメールに「全員に返信（CCは残す）」で理由をご連絡ください。</t>
  </si>
  <si>
    <t>【ご案内】新パソコンの受け取りから返却までの流れ</t>
  </si>
  <si>
    <t>パソコン更新について---受け取りから旧パソコンの返却までの流れを簡単にご案内します。</t>
    <rPh sb="4" eb="6">
      <t>コウシン</t>
    </rPh>
    <rPh sb="33" eb="35">
      <t>カンタン</t>
    </rPh>
    <phoneticPr fontId="7"/>
  </si>
  <si>
    <t>初回のみご自身での対応が必要な項目がありますので、気軽に目を通していただければと思います。</t>
    <phoneticPr fontId="7"/>
  </si>
  <si>
    <t>deskNET't  以下のURLから手順書をダウンロードいただき、</t>
    <rPh sb="11" eb="13">
      <t>イカ</t>
    </rPh>
    <rPh sb="19" eb="21">
      <t>テジュン</t>
    </rPh>
    <rPh sb="21" eb="22">
      <t>ショ</t>
    </rPh>
    <phoneticPr fontId="7"/>
  </si>
  <si>
    <t>ご自身で初期設定をお願いしております。</t>
    <rPh sb="1" eb="3">
      <t>ジシン</t>
    </rPh>
    <rPh sb="4" eb="6">
      <t>ショキ</t>
    </rPh>
    <rPh sb="6" eb="8">
      <t>セッテイ</t>
    </rPh>
    <rPh sb="10" eb="11">
      <t>ネガ</t>
    </rPh>
    <phoneticPr fontId="7"/>
  </si>
  <si>
    <t>よろしくお願いいたします。</t>
    <rPh sb="5" eb="6">
      <t>ネガ</t>
    </rPh>
    <phoneticPr fontId="7"/>
  </si>
  <si>
    <t>・パソコン本体と一緒に、以下の２点の書類をお渡しします。必ず目を通しておいてください。</t>
    <phoneticPr fontId="7"/>
  </si>
  <si>
    <t>　２. PIN認証について（起動時のPIN入力に関するご案内です。不明な点があればこちらをご確認ください）</t>
    <phoneticPr fontId="7"/>
  </si>
  <si>
    <t>※本社プリンター、本社スキャナーはすでにこちらでセットアップ済みです。そのままお使いいただけます。</t>
    <rPh sb="1" eb="3">
      <t>ホンシャ</t>
    </rPh>
    <rPh sb="9" eb="11">
      <t>ホンシャ</t>
    </rPh>
    <phoneticPr fontId="7"/>
  </si>
  <si>
    <t>・起動後、ご自身のDOWAIDでサインインしてください。</t>
    <rPh sb="6" eb="8">
      <t>ジシン</t>
    </rPh>
    <phoneticPr fontId="7"/>
  </si>
  <si>
    <t>以下は、ログインID・メールアドレス・パスワードなどご本人だけが知る個人情報なので、システム室側では事前に設定できず、</t>
    <rPh sb="34" eb="36">
      <t>コジン</t>
    </rPh>
    <rPh sb="46" eb="47">
      <t>シツ</t>
    </rPh>
    <rPh sb="53" eb="55">
      <t>セッテイ</t>
    </rPh>
    <phoneticPr fontId="7"/>
  </si>
  <si>
    <t>初回のみご自身での対応をお願いしております。次回の初回利用時以降は設定不要です。</t>
    <rPh sb="25" eb="27">
      <t>ショカイ</t>
    </rPh>
    <rPh sb="27" eb="30">
      <t>リヨウジ</t>
    </rPh>
    <rPh sb="30" eb="32">
      <t>イコウ</t>
    </rPh>
    <rPh sb="33" eb="35">
      <t>セッテイ</t>
    </rPh>
    <phoneticPr fontId="7"/>
  </si>
  <si>
    <t>・起動時にサインインを求められます。メールアドレスは「ご自身DOWAID@dowa.co.jp」、パスワードは入力は不要です。</t>
    <rPh sb="55" eb="57">
      <t>ニュウリョク</t>
    </rPh>
    <rPh sb="58" eb="60">
      <t>フヨウ</t>
    </rPh>
    <phoneticPr fontId="7"/>
  </si>
  <si>
    <t>■Soliton KeyManager（証明書設定・DOWANET_JP無線接続設定）</t>
    <rPh sb="36" eb="38">
      <t>ムセン</t>
    </rPh>
    <rPh sb="38" eb="40">
      <t>セツゾク</t>
    </rPh>
    <rPh sb="40" eb="42">
      <t>セッテイ</t>
    </rPh>
    <phoneticPr fontId="7"/>
  </si>
  <si>
    <t>・初回起動時に、DOWAログインID・パスワードを使って無線接続設定・証明書の設定を行ってください。</t>
    <rPh sb="28" eb="30">
      <t>ムセン</t>
    </rPh>
    <rPh sb="30" eb="32">
      <t>セツゾク</t>
    </rPh>
    <rPh sb="32" eb="34">
      <t>セッテイ</t>
    </rPh>
    <phoneticPr fontId="7"/>
  </si>
  <si>
    <t>※この証明書はDOWAネットワーク利用時に使用されます。</t>
    <phoneticPr fontId="7"/>
  </si>
  <si>
    <t>　１. PC設定情報通知書（パソコンの基本情報を記載したものです。大事に保管ください）</t>
    <rPh sb="6" eb="10">
      <t>セッテイジョウホウ</t>
    </rPh>
    <phoneticPr fontId="7"/>
  </si>
  <si>
    <t>・本社サーバー内の共有フォルダです。DOWATEC-WIFI経由でアクセスします。IDパスワ－ドにつきましてはPC設定情報通知書をご確認ください。</t>
    <rPh sb="1" eb="3">
      <t>ホンシャ</t>
    </rPh>
    <rPh sb="57" eb="61">
      <t>セッテイジョウホウ</t>
    </rPh>
    <rPh sb="61" eb="64">
      <t>ツウチショ</t>
    </rPh>
    <rPh sb="66" eb="68">
      <t>カクニン</t>
    </rPh>
    <phoneticPr fontId="7"/>
  </si>
  <si>
    <t>・どちらもDOWAID＠dowa.co.jpで、初回起動時にサインイン・設定が必要です。</t>
    <phoneticPr fontId="7"/>
  </si>
  <si>
    <t>■Garoon</t>
    <phoneticPr fontId="7"/>
  </si>
  <si>
    <t>・ご自身で初期設定をお願いします。IDパスワードがわからなくなってしまっている場合にはシステム室までご連絡ください。</t>
    <rPh sb="2" eb="4">
      <t>ジシン</t>
    </rPh>
    <rPh sb="5" eb="9">
      <t>ショキセッテイ</t>
    </rPh>
    <rPh sb="11" eb="12">
      <t>ネガ</t>
    </rPh>
    <rPh sb="39" eb="41">
      <t>バアイ</t>
    </rPh>
    <rPh sb="47" eb="48">
      <t>シツ</t>
    </rPh>
    <rPh sb="51" eb="53">
      <t>レンラク</t>
    </rPh>
    <phoneticPr fontId="7"/>
  </si>
  <si>
    <t>・GaloonURL、GaloonID・galoonパスワードの入力が必要になります。</t>
    <rPh sb="32" eb="34">
      <t>ニュウリョク</t>
    </rPh>
    <rPh sb="35" eb="37">
      <t>ヒツヨウ</t>
    </rPh>
    <phoneticPr fontId="7"/>
  </si>
  <si>
    <t>Zscalerを認証していれば、DOWANET回線以外からでも上記システムは利用可能です。</t>
    <rPh sb="8" eb="10">
      <t>ニンショウ</t>
    </rPh>
    <rPh sb="23" eb="27">
      <t>カイセンイガイ</t>
    </rPh>
    <rPh sb="31" eb="33">
      <t>ジョウキ</t>
    </rPh>
    <rPh sb="38" eb="42">
      <t>リヨウカノウ</t>
    </rPh>
    <phoneticPr fontId="7"/>
  </si>
  <si>
    <t>2026年10月29日</t>
  </si>
  <si>
    <t>■準備物『手順書』</t>
    <rPh sb="1" eb="4">
      <t>ジュンビブツ</t>
    </rPh>
    <rPh sb="5" eb="8">
      <t>テジュンショ</t>
    </rPh>
    <phoneticPr fontId="7"/>
  </si>
  <si>
    <t>【STEP 1：新パソコンの受け取り】</t>
    <phoneticPr fontId="7"/>
  </si>
  <si>
    <t>【STEP 1】新パソコンを受け取る</t>
    <phoneticPr fontId="7"/>
  </si>
  <si>
    <t>新しいPCは別モニターの接続は</t>
    <rPh sb="0" eb="1">
      <t>アタラ</t>
    </rPh>
    <rPh sb="6" eb="7">
      <t>ベツ</t>
    </rPh>
    <rPh sb="12" eb="14">
      <t>セツゾク</t>
    </rPh>
    <phoneticPr fontId="7"/>
  </si>
  <si>
    <t>HDMIだけになっております。</t>
    <phoneticPr fontId="7"/>
  </si>
  <si>
    <t>接続ケーブルがない場合はシステム室まで連絡をください。</t>
    <rPh sb="0" eb="2">
      <t>セツゾク</t>
    </rPh>
    <rPh sb="9" eb="11">
      <t>バアイ</t>
    </rPh>
    <rPh sb="16" eb="17">
      <t>シツ</t>
    </rPh>
    <rPh sb="19" eb="21">
      <t>レンラク</t>
    </rPh>
    <phoneticPr fontId="7"/>
  </si>
  <si>
    <t>■モニター接続ケーブルチェック</t>
    <rPh sb="5" eb="6">
      <t>セツ</t>
    </rPh>
    <rPh sb="6" eb="7">
      <t>ゾク</t>
    </rPh>
    <phoneticPr fontId="7"/>
  </si>
  <si>
    <t>【STEP 3：モニター接続ケーブルチェック】</t>
    <rPh sb="12" eb="14">
      <t>セツゾク</t>
    </rPh>
    <phoneticPr fontId="7"/>
  </si>
  <si>
    <t>【STEP 4：データ移行と旧パソコンの返却】</t>
    <phoneticPr fontId="7"/>
  </si>
  <si>
    <t>件名：【ご案内】新パソコンの受け取りから返却まで</t>
  </si>
  <si>
    <t>パソコン更新について、受け取りから初期設定・データ移行・旧パソコン返却までの手順をご案内いたします。</t>
  </si>
  <si>
    <t>初回のみご自身での対応が必要な項目がありますので、ご確認のほどよろしくお願いいたします。</t>
  </si>
  <si>
    <t>■ 全体の流れ</t>
  </si>
  <si>
    <t>【STEP 1】 新パソコンの受け取り</t>
  </si>
  <si>
    <t>【STEP 2】 初回起動と、ご自身での対応項目（各種サインイン・設定）</t>
  </si>
  <si>
    <t>【STEP 3】 モニター接続ケーブルチェック</t>
  </si>
  <si>
    <t>【STEP 4】 データ移行と旧パソコンの返却</t>
  </si>
  <si>
    <t>パソコン本体と一緒に、以下の2点をお渡しいたします。</t>
  </si>
  <si>
    <t>1. PC設定情報通知書（パソコンの基本設定情報）</t>
  </si>
  <si>
    <t>2. PIN認証について（起動時のPIN設定マニュアル）</t>
  </si>
  <si>
    <t>※本社プリンター、本社スキャナーの設定は完了しております。</t>
  </si>
  <si>
    <t>起動後、ご自身の DOWA ID でサインインしてください。</t>
  </si>
  <si>
    <t>■ Office・Outlook</t>
  </si>
  <si>
    <t>■ PLANT（共有フォルダ）</t>
  </si>
  <si>
    <t>本社サーバー内の共有フォルダです。</t>
  </si>
  <si>
    <t>■ Teams・Webex</t>
  </si>
  <si>
    <t>どちらも DOWA ID@dowa.co.jp でサインインしてください。</t>
  </si>
  <si>
    <t>■ deskNet's NEO</t>
  </si>
  <si>
    <t>■ Garoon</t>
  </si>
  <si>
    <t>■ CybozuDesktop</t>
  </si>
  <si>
    <t>お使いの場合は初回起動時に設定をお願いいたします。</t>
  </si>
  <si>
    <t>Garoon URL、Garoon ID、Garoon パスワードを設定してください。</t>
  </si>
  <si>
    <t>■ Edge</t>
  </si>
  <si>
    <t>以前、起動時に固定タブを使っていた場合は再設定をお願いいたします。</t>
  </si>
  <si>
    <t>日常の業務（Concur、SAP、Company 等）は Zscaler を認証していれば DOWANET 回線経由で利用可能です。</t>
  </si>
  <si>
    <t>DOWANET 接続時にパスワード変更を求められた場合は画面の指示に従ってください。</t>
  </si>
  <si>
    <t>対象の旧パソコン： OK04-A1-PC0</t>
  </si>
  <si>
    <t>データ移行： OneDrive を使って新 PC へ移行をお願いいたします。</t>
  </si>
  <si>
    <t>⚠️ 注意点は3つです：</t>
  </si>
  <si>
    <t>2. 先に「旧 PC の同期を完了」させてから、新 PC への移行を行ってください。</t>
  </si>
  <si>
    <t>3. ファイルサイズが大きい場合はうまく移行できないことがあります。</t>
  </si>
  <si>
    <t>どのステップでも、不明な点があれば遠慮なくシステム室までご連絡ください。</t>
  </si>
  <si>
    <t>返却期限（STEP 4）までに対応が難しい場合もご相談ください。</t>
  </si>
  <si>
    <t>【STEP 0】 準備</t>
    <rPh sb="9" eb="11">
      <t>ジュンビ</t>
    </rPh>
    <phoneticPr fontId="7"/>
  </si>
  <si>
    <t>■ 新PCへのサインイン</t>
    <rPh sb="2" eb="3">
      <t>シン</t>
    </rPh>
    <phoneticPr fontId="7"/>
  </si>
  <si>
    <t>OFFICE初回起動時にサインインを求められます。</t>
    <rPh sb="6" eb="8">
      <t>ショカイ</t>
    </rPh>
    <phoneticPr fontId="7"/>
  </si>
  <si>
    <t>■ Soliton KeyManager（証明書設定・無線ネットワーク接続）</t>
    <rPh sb="27" eb="29">
      <t>ムセン</t>
    </rPh>
    <phoneticPr fontId="7"/>
  </si>
  <si>
    <t>初回起動時に、DOWAログインID・パスワードの入力が求められます。</t>
    <rPh sb="27" eb="28">
      <t>モト</t>
    </rPh>
    <phoneticPr fontId="7"/>
  </si>
  <si>
    <t xml:space="preserve"> DOWA ID@dowa.co.jp でサインインしてください。</t>
    <phoneticPr fontId="7"/>
  </si>
  <si>
    <t>ログインID・パスワードはPC設定情報通知書をご確認ください。</t>
    <rPh sb="15" eb="17">
      <t>セッテイ</t>
    </rPh>
    <rPh sb="17" eb="19">
      <t>ジョウホウ</t>
    </rPh>
    <rPh sb="19" eb="22">
      <t>ツウチショ</t>
    </rPh>
    <rPh sb="24" eb="26">
      <t>カクニン</t>
    </rPh>
    <phoneticPr fontId="7"/>
  </si>
  <si>
    <t>※この証明書は DOWA ネットワーク利用時に使用します。</t>
    <rPh sb="21" eb="22">
      <t>ジ</t>
    </rPh>
    <rPh sb="23" eb="25">
      <t>シヨウ</t>
    </rPh>
    <phoneticPr fontId="7"/>
  </si>
  <si>
    <t>※OneDrive利用が初めての場合、旧PC全データがアップロード完了時点まで</t>
    <rPh sb="9" eb="11">
      <t>リヨウ</t>
    </rPh>
    <rPh sb="12" eb="13">
      <t>ハジ</t>
    </rPh>
    <rPh sb="16" eb="18">
      <t>バアイ</t>
    </rPh>
    <rPh sb="19" eb="20">
      <t>キュウ</t>
    </rPh>
    <rPh sb="22" eb="23">
      <t>ゼン</t>
    </rPh>
    <rPh sb="33" eb="35">
      <t>カンリョウ</t>
    </rPh>
    <rPh sb="35" eb="37">
      <t>ジテン</t>
    </rPh>
    <phoneticPr fontId="7"/>
  </si>
  <si>
    <t>1. 旧・新どちらの PC でもOneDrive同期の設定が完了していることをご確認ください。</t>
    <phoneticPr fontId="7"/>
  </si>
  <si>
    <t>【STEP 1】新パソコンの受け取り</t>
    <phoneticPr fontId="7"/>
  </si>
  <si>
    <t>返却期限： 新PC受け取りから２週間</t>
    <rPh sb="6" eb="7">
      <t>シン</t>
    </rPh>
    <rPh sb="9" eb="10">
      <t>ウ</t>
    </rPh>
    <rPh sb="11" eb="12">
      <t>ト</t>
    </rPh>
    <rPh sb="16" eb="18">
      <t>シュウカン</t>
    </rPh>
    <phoneticPr fontId="7"/>
  </si>
  <si>
    <r>
      <rPr>
        <sz val="11"/>
        <color theme="1"/>
        <rFont val="Segoe UI Emoji"/>
        <family val="2"/>
      </rPr>
      <t>❓</t>
    </r>
    <r>
      <rPr>
        <sz val="11"/>
        <color theme="1"/>
        <rFont val="Yu Gothic UI"/>
        <family val="2"/>
        <charset val="128"/>
      </rPr>
      <t xml:space="preserve"> 困ったら</t>
    </r>
    <phoneticPr fontId="7"/>
  </si>
  <si>
    <t>【STEP 2】初回起動と、ご自身での対応項目</t>
    <phoneticPr fontId="7"/>
  </si>
  <si>
    <t>【STEP 3】データ移行と旧パソコンの返却</t>
    <phoneticPr fontId="7"/>
  </si>
  <si>
    <t>・deskNet's NEO 以下のURLから手順書をダウンロードしてください。</t>
    <phoneticPr fontId="7"/>
  </si>
  <si>
    <t>・外部モニター接続ケーブルチェック</t>
    <rPh sb="1" eb="3">
      <t>ガイブ</t>
    </rPh>
    <phoneticPr fontId="7"/>
  </si>
  <si>
    <r>
      <t xml:space="preserve">新しい PC は外部モニターの接続端子が </t>
    </r>
    <r>
      <rPr>
        <b/>
        <sz val="11"/>
        <color theme="1"/>
        <rFont val="Yu Gothic UI"/>
        <family val="3"/>
        <charset val="128"/>
      </rPr>
      <t xml:space="preserve">HDMI </t>
    </r>
    <r>
      <rPr>
        <sz val="11"/>
        <color theme="1"/>
        <rFont val="Yu Gothic UI"/>
        <family val="2"/>
        <charset val="128"/>
      </rPr>
      <t>のみ となっております。</t>
    </r>
    <phoneticPr fontId="7"/>
  </si>
  <si>
    <t>HDMIをお持ちでない場合は、システム室までお申し付けください。</t>
    <phoneticPr fontId="7"/>
  </si>
  <si>
    <t>システム室までお越しください。※発送も可能です。</t>
    <rPh sb="16" eb="18">
      <t>ハッソウ</t>
    </rPh>
    <rPh sb="19" eb="21">
      <t>カノウ</t>
    </rPh>
    <phoneticPr fontId="7"/>
  </si>
  <si>
    <t>Link</t>
  </si>
  <si>
    <t>ご自身で設定されたパスワードを設定いたします。</t>
    <rPh sb="4" eb="6">
      <t>セッテイ</t>
    </rPh>
    <rPh sb="15" eb="17">
      <t>セッテイ</t>
    </rPh>
    <phoneticPr fontId="7"/>
  </si>
  <si>
    <t>お気に入りブックマーク・自動入力パスワード設定の引き継ぎについてご確認ください。</t>
    <rPh sb="1" eb="2">
      <t>キ</t>
    </rPh>
    <rPh sb="3" eb="4">
      <t>イ</t>
    </rPh>
    <rPh sb="12" eb="16">
      <t>ジドウニュウリョク</t>
    </rPh>
    <rPh sb="21" eb="23">
      <t>セッテイ</t>
    </rPh>
    <phoneticPr fontId="7"/>
  </si>
  <si>
    <t>件名：【重要】パソコン更新に伴う設定・移行作業のご案内</t>
  </si>
  <si>
    <t>お手数をおかけいたしますが、以下の手順に沿って作業を進めていただきますようお願いいたします。</t>
  </si>
  <si>
    <t>--------------------------------------------------</t>
  </si>
  <si>
    <t>【STEP 0】準備（事前確認・備品の確認）</t>
  </si>
  <si>
    <t>【STEP 1】新パソコンの受け取り・起動</t>
  </si>
  <si>
    <t>【STEP 2】初回起動・各種アプリ（Office/Teams/Garoon等）のアカウント設定</t>
  </si>
  <si>
    <t>【STEP 3】データ移行・旧パソコンの返却</t>
  </si>
  <si>
    <t>【STEP 4】作業完了のご連絡</t>
  </si>
  <si>
    <t>【STEP 0】準備</t>
  </si>
  <si>
    <t>【STEP 1】新パソコンの受取・起動</t>
  </si>
  <si>
    <t>システム室までお越しいただき、パソコン本体をお受け取りください。</t>
  </si>
  <si>
    <t>2. PIN認証の設定</t>
  </si>
  <si>
    <t>【STEP 2】初回起動・各種アプリの設定</t>
  </si>
  <si>
    <t>起動後、ご自身で以下の初期設定をお願いいたします。</t>
  </si>
  <si>
    <t>■ PLANT</t>
  </si>
  <si>
    <t xml:space="preserve"> 本社サーバー接続用ログインID・パスワードを入力してください。</t>
  </si>
  <si>
    <t>■ Teams / Webex</t>
  </si>
  <si>
    <t xml:space="preserve"> ご自身で設定・お気に入りの移行をお願いいたします。</t>
  </si>
  <si>
    <t>【STEP 3】データ移行と旧PCの返却</t>
  </si>
  <si>
    <t>対象の旧パソコンからデータを移行し、ご返却ください。</t>
  </si>
  <si>
    <t>⚠ 注意点</t>
  </si>
  <si>
    <t>❓ 困ったときは・お問い合わせ</t>
  </si>
  <si>
    <t>どのステップでつまずいたかをご明記の上、システム室までご連絡ください。</t>
  </si>
  <si>
    <t>1. PC設定情報通知書の確認</t>
    <rPh sb="9" eb="12">
      <t>ツウチショ</t>
    </rPh>
    <phoneticPr fontId="7"/>
  </si>
  <si>
    <t xml:space="preserve"> 初回起動時、DOWA ID＠dowa.co.jpでログインしてください。</t>
    <phoneticPr fontId="7"/>
  </si>
  <si>
    <t>お疲れ様です。システム室の前田です。</t>
    <rPh sb="13" eb="15">
      <t>マエダ</t>
    </rPh>
    <phoneticPr fontId="7"/>
  </si>
  <si>
    <t>パソコン更新についてご案内いたします。</t>
    <phoneticPr fontId="7"/>
  </si>
  <si>
    <t>・外部モニターをご利用の場合：新PC側端子規格（HDMI等）とモニター側の端子規格をご確認ください。</t>
    <rPh sb="18" eb="19">
      <t>ガワ</t>
    </rPh>
    <rPh sb="35" eb="36">
      <t>ガワ</t>
    </rPh>
    <rPh sb="37" eb="39">
      <t>タンシ</t>
    </rPh>
    <rPh sb="39" eb="41">
      <t>キカク</t>
    </rPh>
    <phoneticPr fontId="7"/>
  </si>
  <si>
    <t>・ケーブルがあるかということもご確認ください。</t>
    <rPh sb="16" eb="18">
      <t>カクニン</t>
    </rPh>
    <phoneticPr fontId="7"/>
  </si>
  <si>
    <t>今回の更新では、初期設定をご自身で行っていただく必要がございます。</t>
    <phoneticPr fontId="7"/>
  </si>
  <si>
    <t>・deskNet's等の下記URL確認（※事前にお気に入り等を控えてください）</t>
    <rPh sb="12" eb="14">
      <t>カキ</t>
    </rPh>
    <phoneticPr fontId="7"/>
  </si>
  <si>
    <t>発送も可能です。</t>
    <rPh sb="0" eb="2">
      <t>ハッソウ</t>
    </rPh>
    <rPh sb="3" eb="5">
      <t>カノウ</t>
    </rPh>
    <phoneticPr fontId="7"/>
  </si>
  <si>
    <t>以下の書類を同梱しております。ご確認ください。</t>
    <rPh sb="0" eb="2">
      <t>イカ</t>
    </rPh>
    <rPh sb="3" eb="5">
      <t>ショルイ</t>
    </rPh>
    <rPh sb="6" eb="8">
      <t>ドウコン</t>
    </rPh>
    <rPh sb="16" eb="18">
      <t>カクニン</t>
    </rPh>
    <phoneticPr fontId="7"/>
  </si>
  <si>
    <t>■ Soliton KeyManager（無線・証明書設定）</t>
    <rPh sb="21" eb="23">
      <t>ムセン</t>
    </rPh>
    <phoneticPr fontId="7"/>
  </si>
  <si>
    <t xml:space="preserve"> お気に入り等の同期・お気に入りパスワード引き継ぎを行ってください。</t>
    <rPh sb="12" eb="13">
      <t>キ</t>
    </rPh>
    <rPh sb="14" eb="15">
      <t>イ</t>
    </rPh>
    <phoneticPr fontId="7"/>
  </si>
  <si>
    <t xml:space="preserve">■ deskNet's </t>
    <phoneticPr fontId="7"/>
  </si>
  <si>
    <t>DOWAID・パスワードを入力してください。</t>
    <rPh sb="13" eb="15">
      <t>ニュウリョク</t>
    </rPh>
    <phoneticPr fontId="7"/>
  </si>
  <si>
    <t>■ Garoon / CybozuDeskTop</t>
    <phoneticPr fontId="7"/>
  </si>
  <si>
    <t>※OneDriveを初めて設定の場合はこの限りではありません。</t>
    <rPh sb="10" eb="11">
      <t>ハジ</t>
    </rPh>
    <rPh sb="13" eb="15">
      <t>セッテイ</t>
    </rPh>
    <rPh sb="16" eb="18">
      <t>バアイ</t>
    </rPh>
    <rPh sb="21" eb="22">
      <t>カギ</t>
    </rPh>
    <phoneticPr fontId="7"/>
  </si>
  <si>
    <t>1. 先に「旧PC」のバックアップを完了させてから新PCへ移行してください。</t>
    <phoneticPr fontId="7"/>
  </si>
  <si>
    <t>2.本社プリンタの設定等は完了しております。</t>
    <rPh sb="13" eb="15">
      <t>カンリョウ</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</si>
</sst>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7" formatCode="&quot;¥&quot;#,##0.00;&quot;¥&quot;\-#,##0.00"/>
    <numFmt numFmtId="42" formatCode="_ &quot;¥&quot;* #,##0_ ;_ &quot;¥&quot;* \-#,##0_ ;_ &quot;¥&quot;* &quot;-&quot;_ ;_ @_ "/>
    <numFmt numFmtId="176" formatCode="m&quot;月&quot;d&quot;日&quot;;@"/>
    <numFmt numFmtId="177" formatCode="[=0]&quot;更新&quot;;[=1]&quot;新規&quot;"/>
    <numFmt numFmtId="178" formatCode="aaa"/>
    <numFmt numFmtId="179" formatCode="000"/>
    <numFmt numFmtId="180" formatCode="#,##0&quot;日&quot;"/>
    <numFmt numFmtId="181" formatCode="\+0;\△\9;\±0;@"/>
    <numFmt numFmtId="182" formatCode="\$#,##0.00;\-\$#,##0.00"/>
    <numFmt numFmtId="183" formatCode="&quot;¥&quot;\+#,##0;&quot;¥&quot;\▲#,##0"/>
    <numFmt numFmtId="184" formatCode="[$-F800]dddd\,\ mmmm\ dd\,\ yyyy"/>
    <numFmt numFmtId="185" formatCode="&quot;¥&quot;#,##0&quot;円&quot;"/>
    <numFmt numFmtId="186" formatCode="#,##0.00&quot;時&quot;&quot;間&quot;"/>
    <numFmt numFmtId="187" formatCode="#,##0&quot;か&quot;&quot;月&quot;"/>
  </numFmts>
  <fonts count="37">
    <font>
      <sz val="11"/>
      <color theme="1"/>
      <name val="Yu Gothic UI"/>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Yu Gothic UI"/>
      <family val="2"/>
      <charset val="128"/>
    </font>
    <font>
      <sz val="11"/>
      <color theme="1"/>
      <name val="游ゴシック"/>
      <family val="3"/>
      <charset val="128"/>
    </font>
    <font>
      <sz val="11.5"/>
      <color rgb="FF333333"/>
      <name val="メイリオ"/>
      <family val="3"/>
      <charset val="128"/>
    </font>
    <font>
      <b/>
      <sz val="11"/>
      <color theme="1"/>
      <name val="游ゴシック"/>
      <family val="3"/>
      <charset val="128"/>
    </font>
    <font>
      <sz val="10"/>
      <color rgb="FF111111"/>
      <name val="ＭＳ ゴシック"/>
      <family val="3"/>
      <charset val="128"/>
    </font>
    <font>
      <u/>
      <sz val="11"/>
      <color theme="10"/>
      <name val="Yu Gothic UI"/>
      <family val="2"/>
      <charset val="128"/>
    </font>
    <font>
      <sz val="11"/>
      <color theme="1"/>
      <name val="Yu Gothic Medium"/>
      <family val="3"/>
      <charset val="128"/>
    </font>
    <font>
      <sz val="14"/>
      <color rgb="FF000000"/>
      <name val="Meiryo"/>
      <family val="3"/>
      <charset val="128"/>
    </font>
    <font>
      <sz val="11"/>
      <color rgb="FFFF0000"/>
      <name val="Yu Gothic UI"/>
      <family val="2"/>
      <charset val="128"/>
    </font>
    <font>
      <sz val="11"/>
      <color rgb="FFFF0000"/>
      <name val="Yu Gothic UI"/>
      <family val="3"/>
      <charset val="128"/>
    </font>
    <font>
      <sz val="11"/>
      <color theme="1"/>
      <name val="Yu Gothic UI"/>
      <family val="3"/>
      <charset val="128"/>
    </font>
    <font>
      <sz val="11"/>
      <color rgb="FF000000"/>
      <name val="Yu Gothic UI"/>
      <family val="3"/>
      <charset val="128"/>
    </font>
    <font>
      <sz val="8"/>
      <color rgb="FF000000"/>
      <name val="メイリオ"/>
      <family val="3"/>
      <charset val="128"/>
    </font>
    <font>
      <b/>
      <sz val="11"/>
      <color rgb="FFFF0000"/>
      <name val="游ゴシック"/>
      <family val="3"/>
      <charset val="128"/>
    </font>
    <font>
      <sz val="11"/>
      <color theme="1"/>
      <name val="Noto Sans JP"/>
      <family val="3"/>
      <charset val="128"/>
    </font>
    <font>
      <sz val="11"/>
      <color theme="1"/>
      <name val="游ゴシック"/>
      <family val="3"/>
      <charset val="128"/>
      <scheme val="minor"/>
    </font>
    <font>
      <sz val="11"/>
      <color theme="1"/>
      <name val="游ゴシック"/>
      <family val="2"/>
      <scheme val="minor"/>
    </font>
    <font>
      <u/>
      <sz val="11"/>
      <color theme="10"/>
      <name val="游ゴシック"/>
      <family val="2"/>
      <scheme val="minor"/>
    </font>
    <font>
      <sz val="10"/>
      <name val="ＭＳ 明朝"/>
      <family val="1"/>
      <charset val="128"/>
    </font>
    <font>
      <u/>
      <sz val="11"/>
      <color theme="10"/>
      <name val="游ゴシック"/>
      <family val="2"/>
      <charset val="128"/>
      <scheme val="minor"/>
    </font>
    <font>
      <sz val="14"/>
      <color theme="4"/>
      <name val="Yu Gothic UI"/>
      <family val="3"/>
      <charset val="128"/>
    </font>
    <font>
      <sz val="11"/>
      <name val="游ゴシック"/>
      <family val="3"/>
      <charset val="128"/>
    </font>
    <font>
      <b/>
      <sz val="11"/>
      <color theme="1"/>
      <name val="游ゴシック"/>
      <family val="3"/>
      <charset val="128"/>
      <scheme val="minor"/>
    </font>
    <font>
      <b/>
      <sz val="24"/>
      <color theme="1"/>
      <name val="游ゴシック"/>
      <family val="3"/>
      <charset val="128"/>
      <scheme val="minor"/>
    </font>
    <font>
      <sz val="10"/>
      <color theme="1"/>
      <name val="游ゴシック"/>
      <family val="3"/>
      <charset val="128"/>
      <scheme val="minor"/>
    </font>
    <font>
      <sz val="11"/>
      <color theme="1"/>
      <name val="游ゴシック"/>
      <family val="2"/>
      <charset val="128"/>
    </font>
    <font>
      <b/>
      <sz val="11"/>
      <color rgb="FFFF0000"/>
      <name val="Yu Gothic UI"/>
      <family val="3"/>
      <charset val="128"/>
    </font>
    <font>
      <sz val="10"/>
      <name val="游ゴシック"/>
      <family val="3"/>
      <charset val="128"/>
    </font>
    <font>
      <sz val="11"/>
      <color theme="1"/>
      <name val="Segoe UI Emoji"/>
      <family val="2"/>
    </font>
    <font>
      <b/>
      <sz val="11"/>
      <color theme="1"/>
      <name val="Yu Gothic UI"/>
      <family val="3"/>
      <charset val="128"/>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FFFFFF"/>
        <bgColor indexed="64"/>
      </patternFill>
    </fill>
    <fill>
      <patternFill patternType="solid">
        <fgColor theme="0" tint="-4.9989318521683403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theme="7" tint="0.39997558519241921"/>
      </right>
      <top style="thin">
        <color theme="7" tint="0.39997558519241921"/>
      </top>
      <bottom style="thin">
        <color theme="7" tint="0.39997558519241921"/>
      </bottom>
      <diagonal/>
    </border>
    <border>
      <left style="thick">
        <color auto="1"/>
      </left>
      <right style="thick">
        <color auto="1"/>
      </right>
      <top style="thick">
        <color auto="1"/>
      </top>
      <bottom style="thick">
        <color auto="1"/>
      </bottom>
      <diagonal/>
    </border>
  </borders>
  <cellStyleXfs count="10">
    <xf numFmtId="0" fontId="0" fillId="0" borderId="0">
      <alignment vertical="center"/>
    </xf>
    <xf numFmtId="0" fontId="12" fillId="0" borderId="0" applyNumberFormat="0" applyFill="0" applyBorder="0" applyAlignment="0" applyProtection="0">
      <alignment vertical="center"/>
    </xf>
    <xf numFmtId="0" fontId="6" fillId="0" borderId="0">
      <alignment vertical="center"/>
    </xf>
    <xf numFmtId="0" fontId="22" fillId="0" borderId="0">
      <alignment vertical="center"/>
    </xf>
    <xf numFmtId="0" fontId="23" fillId="0" borderId="0"/>
    <xf numFmtId="0" fontId="24" fillId="0" borderId="0" applyNumberFormat="0" applyFill="0" applyBorder="0" applyAlignment="0" applyProtection="0"/>
    <xf numFmtId="0" fontId="25" fillId="0" borderId="0"/>
    <xf numFmtId="38" fontId="25" fillId="0" borderId="0" applyFont="0" applyFill="0" applyBorder="0" applyAlignment="0" applyProtection="0"/>
    <xf numFmtId="0" fontId="26" fillId="0" borderId="0" applyNumberFormat="0" applyFill="0" applyBorder="0" applyAlignment="0" applyProtection="0">
      <alignment vertical="center"/>
    </xf>
    <xf numFmtId="0" fontId="5" fillId="0" borderId="0">
      <alignment vertical="center"/>
    </xf>
  </cellStyleXfs>
  <cellXfs count="80">
    <xf numFmtId="0" fontId="0" fillId="0" borderId="0" xfId="0">
      <alignment vertical="center"/>
    </xf>
    <xf numFmtId="14" fontId="0" fillId="0" borderId="0" xfId="0" applyNumberFormat="1">
      <alignment vertical="center"/>
    </xf>
    <xf numFmtId="14" fontId="0" fillId="0" borderId="1" xfId="0" applyNumberFormat="1" applyBorder="1">
      <alignment vertical="center"/>
    </xf>
    <xf numFmtId="0" fontId="0" fillId="0" borderId="1" xfId="0" applyBorder="1">
      <alignment vertical="center"/>
    </xf>
    <xf numFmtId="14" fontId="0" fillId="0" borderId="3" xfId="0" applyNumberFormat="1" applyBorder="1">
      <alignment vertical="center"/>
    </xf>
    <xf numFmtId="0" fontId="0" fillId="2" borderId="2" xfId="0" applyFill="1" applyBorder="1">
      <alignment vertical="center"/>
    </xf>
    <xf numFmtId="0" fontId="8" fillId="0" borderId="0" xfId="0" applyFont="1" applyAlignment="1">
      <alignment horizontal="justify" vertical="center"/>
    </xf>
    <xf numFmtId="0" fontId="8" fillId="0" borderId="0" xfId="0" applyFont="1">
      <alignment vertical="center"/>
    </xf>
    <xf numFmtId="0" fontId="9" fillId="0" borderId="0" xfId="0" applyFont="1">
      <alignment vertical="center"/>
    </xf>
    <xf numFmtId="0" fontId="0" fillId="0" borderId="2" xfId="0" applyBorder="1">
      <alignment vertical="center"/>
    </xf>
    <xf numFmtId="1" fontId="0" fillId="0" borderId="0" xfId="0" applyNumberFormat="1">
      <alignment vertical="center"/>
    </xf>
    <xf numFmtId="176" fontId="0" fillId="0" borderId="0" xfId="0" applyNumberFormat="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31" fontId="0" fillId="0" borderId="7" xfId="0" applyNumberFormat="1" applyBorder="1">
      <alignment vertical="center"/>
    </xf>
    <xf numFmtId="177" fontId="0" fillId="0" borderId="0" xfId="0" applyNumberFormat="1">
      <alignment vertical="center"/>
    </xf>
    <xf numFmtId="0" fontId="0" fillId="2" borderId="4" xfId="0" applyFill="1" applyBorder="1">
      <alignment vertical="center"/>
    </xf>
    <xf numFmtId="178" fontId="0" fillId="0" borderId="0" xfId="0" applyNumberFormat="1">
      <alignment vertical="center"/>
    </xf>
    <xf numFmtId="0" fontId="10" fillId="0" borderId="0" xfId="0" applyFont="1" applyAlignment="1">
      <alignment horizontal="justify" vertical="center"/>
    </xf>
    <xf numFmtId="0" fontId="10" fillId="0" borderId="0" xfId="0" applyFont="1">
      <alignment vertical="center"/>
    </xf>
    <xf numFmtId="0" fontId="11" fillId="0" borderId="0" xfId="0" applyFont="1">
      <alignment vertical="center"/>
    </xf>
    <xf numFmtId="179" fontId="0" fillId="2" borderId="2" xfId="0" applyNumberFormat="1" applyFill="1" applyBorder="1">
      <alignment vertical="center"/>
    </xf>
    <xf numFmtId="0" fontId="0" fillId="3" borderId="0" xfId="0" applyFill="1">
      <alignment vertical="center"/>
    </xf>
    <xf numFmtId="180" fontId="0" fillId="0" borderId="0" xfId="0" applyNumberFormat="1">
      <alignment vertical="center"/>
    </xf>
    <xf numFmtId="0" fontId="0" fillId="2" borderId="9" xfId="0" applyFill="1" applyBorder="1">
      <alignment vertical="center"/>
    </xf>
    <xf numFmtId="14" fontId="13" fillId="0" borderId="0" xfId="0" applyNumberFormat="1" applyFont="1">
      <alignment vertical="center"/>
    </xf>
    <xf numFmtId="0" fontId="14" fillId="0" borderId="0" xfId="0" applyFont="1" applyAlignment="1">
      <alignment vertical="center" shrinkToFit="1"/>
    </xf>
    <xf numFmtId="0" fontId="13" fillId="0" borderId="0" xfId="0" applyFont="1" applyAlignment="1">
      <alignment horizontal="left" vertical="center"/>
    </xf>
    <xf numFmtId="0" fontId="15" fillId="2" borderId="2" xfId="1" applyFont="1" applyFill="1" applyBorder="1">
      <alignment vertical="center"/>
    </xf>
    <xf numFmtId="0" fontId="15" fillId="0" borderId="0" xfId="0" applyFont="1">
      <alignment vertical="center"/>
    </xf>
    <xf numFmtId="0" fontId="0" fillId="2" borderId="0" xfId="0" applyFill="1">
      <alignment vertical="center"/>
    </xf>
    <xf numFmtId="181" fontId="0" fillId="0" borderId="0" xfId="0" applyNumberFormat="1">
      <alignment vertical="center"/>
    </xf>
    <xf numFmtId="0" fontId="0" fillId="4" borderId="0" xfId="0" applyFill="1">
      <alignment vertical="center"/>
    </xf>
    <xf numFmtId="0" fontId="17" fillId="0" borderId="0" xfId="0" applyFont="1">
      <alignment vertical="center"/>
    </xf>
    <xf numFmtId="0" fontId="0" fillId="0" borderId="10" xfId="0" applyBorder="1">
      <alignment vertical="center"/>
    </xf>
    <xf numFmtId="0" fontId="0" fillId="5" borderId="0" xfId="0" applyFill="1">
      <alignment vertical="center"/>
    </xf>
    <xf numFmtId="0" fontId="0" fillId="6" borderId="0" xfId="0" applyFill="1">
      <alignment vertical="center"/>
    </xf>
    <xf numFmtId="0" fontId="0" fillId="6" borderId="1" xfId="0" applyFill="1" applyBorder="1">
      <alignment vertical="center"/>
    </xf>
    <xf numFmtId="0" fontId="15" fillId="6" borderId="1" xfId="0" applyFont="1" applyFill="1" applyBorder="1">
      <alignment vertical="center"/>
    </xf>
    <xf numFmtId="0" fontId="0" fillId="7" borderId="0" xfId="0" applyFill="1">
      <alignment vertical="center"/>
    </xf>
    <xf numFmtId="0" fontId="0" fillId="0" borderId="1" xfId="0" applyBorder="1" applyAlignment="1">
      <alignment vertical="center" shrinkToFit="1"/>
    </xf>
    <xf numFmtId="31" fontId="0" fillId="7" borderId="0" xfId="0" applyNumberFormat="1" applyFill="1">
      <alignment vertical="center"/>
    </xf>
    <xf numFmtId="31" fontId="0" fillId="4" borderId="0" xfId="0" applyNumberFormat="1" applyFill="1" applyAlignment="1">
      <alignment horizontal="right" vertical="center"/>
    </xf>
    <xf numFmtId="31" fontId="0" fillId="0" borderId="0" xfId="0" applyNumberFormat="1">
      <alignment vertical="center"/>
    </xf>
    <xf numFmtId="182" fontId="0" fillId="0" borderId="0" xfId="0" applyNumberFormat="1">
      <alignment vertical="center"/>
    </xf>
    <xf numFmtId="183" fontId="0" fillId="0" borderId="0" xfId="0" applyNumberFormat="1">
      <alignment vertical="center"/>
    </xf>
    <xf numFmtId="0" fontId="19" fillId="0" borderId="0" xfId="0" applyFont="1">
      <alignment vertical="center"/>
    </xf>
    <xf numFmtId="3" fontId="19" fillId="0" borderId="0" xfId="0" applyNumberFormat="1" applyFont="1">
      <alignment vertical="center"/>
    </xf>
    <xf numFmtId="3" fontId="0" fillId="0" borderId="0" xfId="0" applyNumberFormat="1">
      <alignment vertical="center"/>
    </xf>
    <xf numFmtId="3" fontId="0" fillId="4" borderId="0" xfId="0" applyNumberFormat="1" applyFill="1" applyAlignment="1">
      <alignment horizontal="right" vertical="center"/>
    </xf>
    <xf numFmtId="0" fontId="12" fillId="0" borderId="0" xfId="1">
      <alignment vertical="center"/>
    </xf>
    <xf numFmtId="0" fontId="21" fillId="8" borderId="0" xfId="0" applyFont="1" applyFill="1" applyAlignment="1">
      <alignment horizontal="right" vertical="center"/>
    </xf>
    <xf numFmtId="0" fontId="12" fillId="8" borderId="0" xfId="1" applyFill="1" applyAlignment="1">
      <alignment horizontal="left" vertical="center"/>
    </xf>
    <xf numFmtId="0" fontId="21" fillId="8" borderId="0" xfId="0" applyFont="1" applyFill="1" applyAlignment="1">
      <alignment horizontal="left" vertical="center"/>
    </xf>
    <xf numFmtId="184" fontId="27" fillId="9" borderId="11" xfId="0" applyNumberFormat="1" applyFont="1" applyFill="1" applyBorder="1" applyAlignment="1">
      <alignment horizontal="left" vertical="center"/>
    </xf>
    <xf numFmtId="184" fontId="0" fillId="0" borderId="0" xfId="0" applyNumberFormat="1">
      <alignment vertical="center"/>
    </xf>
    <xf numFmtId="0" fontId="5" fillId="0" borderId="0" xfId="9">
      <alignment vertical="center"/>
    </xf>
    <xf numFmtId="0" fontId="5" fillId="0" borderId="0" xfId="9" applyAlignment="1">
      <alignment horizontal="left" vertical="center" indent="1"/>
    </xf>
    <xf numFmtId="0" fontId="5" fillId="0" borderId="0" xfId="9" applyAlignment="1">
      <alignment horizontal="left" vertical="center" indent="2"/>
    </xf>
    <xf numFmtId="0" fontId="29" fillId="0" borderId="0" xfId="9" applyFont="1" applyAlignment="1">
      <alignment horizontal="left" vertical="center" indent="2"/>
    </xf>
    <xf numFmtId="0" fontId="30" fillId="0" borderId="0" xfId="9" applyFont="1" applyAlignment="1">
      <alignment horizontal="left" vertical="center" indent="1"/>
    </xf>
    <xf numFmtId="0" fontId="5" fillId="0" borderId="0" xfId="9" applyAlignment="1">
      <alignment horizontal="left" vertical="center" indent="3"/>
    </xf>
    <xf numFmtId="0" fontId="31" fillId="0" borderId="0" xfId="9" applyFont="1">
      <alignment vertical="center"/>
    </xf>
    <xf numFmtId="0" fontId="4" fillId="0" borderId="0" xfId="9" applyFont="1">
      <alignment vertical="center"/>
    </xf>
    <xf numFmtId="0" fontId="3" fillId="0" borderId="0" xfId="9" applyFont="1" applyAlignment="1">
      <alignment horizontal="left" vertical="center" indent="1"/>
    </xf>
    <xf numFmtId="0" fontId="0" fillId="0" borderId="0" xfId="0" quotePrefix="1">
      <alignment vertical="center"/>
    </xf>
    <xf numFmtId="42" fontId="0" fillId="0" borderId="0" xfId="0" applyNumberFormat="1">
      <alignment vertical="center"/>
    </xf>
    <xf numFmtId="0" fontId="2" fillId="0" borderId="0" xfId="9" applyFont="1">
      <alignment vertical="center"/>
    </xf>
    <xf numFmtId="0" fontId="2" fillId="0" borderId="0" xfId="9" applyFont="1" applyAlignment="1">
      <alignment horizontal="left" vertical="center" indent="1"/>
    </xf>
    <xf numFmtId="185" fontId="0" fillId="0" borderId="0" xfId="0" applyNumberFormat="1">
      <alignment vertical="center"/>
    </xf>
    <xf numFmtId="186" fontId="0" fillId="0" borderId="0" xfId="0" applyNumberFormat="1">
      <alignment vertical="center"/>
    </xf>
    <xf numFmtId="185" fontId="0" fillId="0" borderId="12" xfId="0" applyNumberFormat="1" applyBorder="1">
      <alignment vertical="center"/>
    </xf>
    <xf numFmtId="7" fontId="0" fillId="0" borderId="0" xfId="0" applyNumberFormat="1">
      <alignment vertical="center"/>
    </xf>
    <xf numFmtId="187" fontId="0" fillId="0" borderId="0" xfId="0" applyNumberFormat="1">
      <alignment vertical="center"/>
    </xf>
    <xf numFmtId="9" fontId="0" fillId="0" borderId="0" xfId="0" applyNumberFormat="1">
      <alignment vertical="center"/>
    </xf>
    <xf numFmtId="185" fontId="33" fillId="2" borderId="0" xfId="0" applyNumberFormat="1" applyFont="1" applyFill="1">
      <alignment vertical="center"/>
    </xf>
    <xf numFmtId="0" fontId="0" fillId="0" borderId="0" xfId="0" applyAlignment="1"/>
    <xf numFmtId="0" fontId="34" fillId="0" borderId="0" xfId="0" applyFont="1" applyAlignment="1"/>
    <xf numFmtId="0" fontId="1" fillId="0" borderId="0" xfId="9" applyFont="1" applyAlignment="1">
      <alignment horizontal="left" vertical="center" indent="1"/>
    </xf>
  </cellXfs>
  <cellStyles count="10">
    <cellStyle name="ハイパーリンク" xfId="1" builtinId="8"/>
    <cellStyle name="ハイパーリンク 2" xfId="5" xr:uid="{2E780BAE-CF52-4DF0-849D-B6E59386907D}"/>
    <cellStyle name="ハイパーリンク 3" xfId="8" xr:uid="{AF0BF098-1EFC-480C-8F0B-35BFA808B515}"/>
    <cellStyle name="桁区切り 2" xfId="7" xr:uid="{87AF4EB1-7DA9-4FF8-B10D-B68B0CBF0CE8}"/>
    <cellStyle name="標準" xfId="0" builtinId="0"/>
    <cellStyle name="標準 2" xfId="4" xr:uid="{C2D7F34E-1BE6-4E43-B905-58DE6002EF73}"/>
    <cellStyle name="標準 2 2" xfId="6" xr:uid="{D1E211BB-79BF-41E6-8FB3-15C3E5F3DBEA}"/>
    <cellStyle name="標準 3" xfId="2" xr:uid="{B3A47A24-DBA4-4739-8855-5E2834B4298C}"/>
    <cellStyle name="標準 4" xfId="3" xr:uid="{36C565FB-A455-429B-BDD5-E3F5B757D210}"/>
    <cellStyle name="標準 5" xfId="9" xr:uid="{A2FBA598-6858-41C1-AD77-6B112F6EA4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56</xdr:row>
      <xdr:rowOff>8708</xdr:rowOff>
    </xdr:from>
    <xdr:to>
      <xdr:col>15</xdr:col>
      <xdr:colOff>971550</xdr:colOff>
      <xdr:row>56</xdr:row>
      <xdr:rowOff>18233</xdr:rowOff>
    </xdr:to>
    <xdr:cxnSp macro="">
      <xdr:nvCxnSpPr>
        <xdr:cNvPr id="3" name="直線コネクタ 2">
          <a:extLst>
            <a:ext uri="{FF2B5EF4-FFF2-40B4-BE49-F238E27FC236}">
              <a16:creationId xmlns:a16="http://schemas.microsoft.com/office/drawing/2014/main" id="{00000000-0008-0000-0000-000003000000}"/>
            </a:ext>
          </a:extLst>
        </xdr:cNvPr>
        <xdr:cNvCxnSpPr/>
      </xdr:nvCxnSpPr>
      <xdr:spPr>
        <a:xfrm>
          <a:off x="0" y="12266022"/>
          <a:ext cx="21915664" cy="9525"/>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12</xdr:col>
          <xdr:colOff>304800</xdr:colOff>
          <xdr:row>10</xdr:row>
          <xdr:rowOff>0</xdr:rowOff>
        </xdr:from>
        <xdr:to>
          <xdr:col>14</xdr:col>
          <xdr:colOff>68580</xdr:colOff>
          <xdr:row>11</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100" b="0" i="0" u="none" strike="noStrike" baseline="0">
                  <a:solidFill>
                    <a:srgbClr val="000000"/>
                  </a:solidFill>
                  <a:latin typeface="Yu Gothic UI"/>
                  <a:ea typeface="Yu Gothic UI"/>
                </a:rPr>
                <a:t>ボタン 1</a:t>
              </a:r>
            </a:p>
          </xdr:txBody>
        </xdr:sp>
        <xdr:clientData fPrintsWithSheet="0"/>
      </xdr:twoCellAnchor>
    </mc:Choice>
    <mc:Fallback/>
  </mc:AlternateContent>
  <xdr:twoCellAnchor>
    <xdr:from>
      <xdr:col>0</xdr:col>
      <xdr:colOff>402771</xdr:colOff>
      <xdr:row>36</xdr:row>
      <xdr:rowOff>75383</xdr:rowOff>
    </xdr:from>
    <xdr:to>
      <xdr:col>15</xdr:col>
      <xdr:colOff>1378131</xdr:colOff>
      <xdr:row>36</xdr:row>
      <xdr:rowOff>79737</xdr:rowOff>
    </xdr:to>
    <xdr:cxnSp macro="">
      <xdr:nvCxnSpPr>
        <xdr:cNvPr id="2" name="直線コネクタ 1">
          <a:extLst>
            <a:ext uri="{FF2B5EF4-FFF2-40B4-BE49-F238E27FC236}">
              <a16:creationId xmlns:a16="http://schemas.microsoft.com/office/drawing/2014/main" id="{00000000-0008-0000-0000-000002000000}"/>
            </a:ext>
          </a:extLst>
        </xdr:cNvPr>
        <xdr:cNvCxnSpPr/>
      </xdr:nvCxnSpPr>
      <xdr:spPr>
        <a:xfrm>
          <a:off x="402771" y="8196126"/>
          <a:ext cx="21919474" cy="4354"/>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ujifilm.com/fb/support/service/beat/tech/ra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hyperlink" Target="https://dowa365.sharepoint.com/sites/Portal/DOWATechnoEngineering/Shared%20Documents/Forms/AllItems.aspx?id=%2Fsites%2FPortal%2FDOWATechnoEngineering%2FShared%20Documents%2F%E3%83%9E%E3%83%8B%E3%83%A5%E3%82%A2%E3%83%AB%2F%E3%82%A2%E3%83%97%E3%83%AA&amp;viewid=8567ae90%2D3412%2D41a1%2D8776%2D4a8689a76581&amp;csf=1&amp;CID=2aeec3ca%2Dbf9c%2D44ce%2D84e6%2D359d991e3e93&amp;FolderCTID=0x012000FE727D1E8769B84BB586EF03F49639DF" TargetMode="External"/><Relationship Id="rId2" Type="http://schemas.openxmlformats.org/officeDocument/2006/relationships/hyperlink" Target="https://dowa365.sharepoint.com/sites/Portal/DOWATechnoEngineering/Shared%20Documents/Forms/AllItems.aspx?id=%2Fsites%2FPortal%2FDOWATechnoEngineering%2FShared%20Documents%2F%E3%83%9E%E3%83%8B%E3%83%A5%E3%82%A2%E3%83%AB%2F%EF%BC%81%E3%81%AF%E3%81%98%E3%82%81%E3%81%AB%E8%AA%AD%E3%82%93%E3%81%A7%E5%AF%BE%E5%BF%9C%E3%81%97%E3%81%A6%E3%81%8F%E3%81%A0%E3%81%95%E3%81%84%2F%E3%83%91%E3%82%BD%E3%82%B3%E3%83%B3%E3%81%AE%E5%88%A9%E7%94%A8%E9%96%8B%E5%A7%8B%E3%81%AB%E3%81%A4%E3%81%84%E3%81%A6%2Epdf&amp;parent=%2Fsites%2FPortal%2FDOWATechnoEngineering%2FShared%20Documents%2F%E3%83%9E%E3%83%8B%E3%83%A5%E3%82%A2%E3%83%AB%2F%EF%BC%81%E3%81%AF%E3%81%98%E3%82%81%E3%81%AB%E8%AA%AD%E3%82%93%E3%81%A7%E5%AF%BE%E5%BF%9C%E3%81%97%E3%81%A6%E3%81%8F%E3%81%A0%E3%81%95%E3%81%84" TargetMode="External"/><Relationship Id="rId1" Type="http://schemas.openxmlformats.org/officeDocument/2006/relationships/hyperlink" Target="https://dowa-sso.dowa.co.jp/scripts/dneo/z.exe?1z7bae78xr5f" TargetMode="External"/><Relationship Id="rId6" Type="http://schemas.openxmlformats.org/officeDocument/2006/relationships/printerSettings" Target="../printerSettings/printerSettings2.bin"/><Relationship Id="rId5" Type="http://schemas.openxmlformats.org/officeDocument/2006/relationships/hyperlink" Target="https://dowa365.sharepoint.com/sites/Portal/DOWATechnoEngineering/SitePages/Home.aspx" TargetMode="External"/><Relationship Id="rId4" Type="http://schemas.openxmlformats.org/officeDocument/2006/relationships/hyperlink" Target="https://dowa365.sharepoint.com/sites/Portal/DOWATechnoEngineering/Shared%20Documents/Forms/AllItems.aspx?id=%2Fsites%2FPortal%2FDOWATechnoEngineering%2FShared%20Documents%2F%E3%83%9E%E3%83%8B%E3%83%A5%E3%82%A2%E3%83%AB%2F%E6%9C%AC%E7%A4%BE%E3%80%80%E8%A4%87%E5%90%88%E6%A9%9F%E3%83%BB%E3%83%97%E3%83%AA%E3%83%B3%E3%82%BF&amp;viewid=8567ae90%2D3412%2D41a1%2D8776%2D4a8689a76581&amp;csf=1&amp;CID=2aeec3ca%2Dbf9c%2D44ce%2D84e6%2D359d991e3e93&amp;FolderCTID=0x012000FE727D1E8769B84BB586EF03F49639DF"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dowa-sso.dowa.co.jp/scripts/dneo/zdoc.exe?cmd=docindex" TargetMode="External"/><Relationship Id="rId1" Type="http://schemas.openxmlformats.org/officeDocument/2006/relationships/hyperlink" Target="https://dowa-sso.dowa.co.jp/scripts/dneo/zdoc.exe?cmd=docinde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FDAA9-FCDA-43B0-BFCE-FE013115272C}">
  <dimension ref="B2:J13"/>
  <sheetViews>
    <sheetView workbookViewId="0">
      <selection activeCell="C13" sqref="C13"/>
    </sheetView>
  </sheetViews>
  <sheetFormatPr defaultRowHeight="16.8"/>
  <cols>
    <col min="2" max="2" width="10.3984375" bestFit="1" customWidth="1"/>
    <col min="3" max="3" width="15.19921875" bestFit="1" customWidth="1"/>
    <col min="9" max="9" width="15.19921875" bestFit="1" customWidth="1"/>
  </cols>
  <sheetData>
    <row r="2" spans="2:10">
      <c r="B2" t="s">
        <v>171</v>
      </c>
      <c r="C2" t="s">
        <v>542</v>
      </c>
      <c r="H2" t="s">
        <v>419</v>
      </c>
      <c r="I2" s="44">
        <v>46324</v>
      </c>
      <c r="J2" t="s">
        <v>5</v>
      </c>
    </row>
    <row r="3" spans="2:10">
      <c r="B3" t="s">
        <v>4</v>
      </c>
      <c r="C3" t="s">
        <v>5</v>
      </c>
      <c r="H3" t="s">
        <v>539</v>
      </c>
      <c r="I3">
        <v>46319</v>
      </c>
      <c r="J3" t="s">
        <v>5</v>
      </c>
    </row>
    <row r="4" spans="2:10">
      <c r="B4" t="s">
        <v>6</v>
      </c>
      <c r="C4" s="44">
        <v>46319</v>
      </c>
      <c r="H4" t="s">
        <v>540</v>
      </c>
      <c r="I4">
        <v>46319</v>
      </c>
      <c r="J4" t="s">
        <v>5</v>
      </c>
    </row>
    <row r="6" spans="2:10">
      <c r="B6" t="str">
        <f>C2</f>
        <v>五十地 龍彦</v>
      </c>
      <c r="C6" s="10">
        <f>(C4)*1</f>
        <v>46319</v>
      </c>
      <c r="D6" t="str">
        <f>C3</f>
        <v>100日間</v>
      </c>
      <c r="E6" t="s">
        <v>526</v>
      </c>
      <c r="H6" t="str">
        <f>H2</f>
        <v>瀬島 奏音</v>
      </c>
      <c r="I6" t="str">
        <f>YEAR(I2)&amp;"年"&amp;MONTH(I2)&amp;"月"&amp;DAY(I2)&amp;"日"</f>
        <v>2026年10月29日</v>
      </c>
      <c r="J6" t="str">
        <f>J2</f>
        <v>100日間</v>
      </c>
    </row>
    <row r="7" spans="2:10">
      <c r="B7" t="str">
        <f>C2</f>
        <v>五十地 龍彦</v>
      </c>
      <c r="C7" t="str">
        <f>YEAR(C4)&amp;"年"&amp;MONTH(C4)&amp;"月"&amp;DAY(C4)&amp;"日"</f>
        <v>2026年10月24日</v>
      </c>
      <c r="D7" t="str">
        <f>C3</f>
        <v>100日間</v>
      </c>
      <c r="H7" t="str">
        <f t="shared" ref="H7:H8" si="0">H3</f>
        <v>田坂 勇人</v>
      </c>
      <c r="I7" t="str">
        <f>YEAR(I3)&amp;"年"&amp;MONTH(I3)&amp;"月"&amp;DAY(I3)&amp;"日"</f>
        <v>2026年10月24日</v>
      </c>
      <c r="J7" t="str">
        <f t="shared" ref="J7:J8" si="1">J3</f>
        <v>100日間</v>
      </c>
    </row>
    <row r="8" spans="2:10">
      <c r="H8" t="str">
        <f t="shared" si="0"/>
        <v>松本 皓汰</v>
      </c>
      <c r="I8" t="str">
        <f t="shared" ref="I8" si="2">YEAR(I4)&amp;"年"&amp;MONTH(I4)&amp;"月"&amp;DAY(I4)&amp;"日"</f>
        <v>2026年10月24日</v>
      </c>
      <c r="J8" t="str">
        <f t="shared" si="1"/>
        <v>100日間</v>
      </c>
    </row>
    <row r="9" spans="2:10">
      <c r="B9" t="s">
        <v>506</v>
      </c>
    </row>
    <row r="10" spans="2:10">
      <c r="B10">
        <v>8</v>
      </c>
      <c r="C10" t="str">
        <f>VLOOKUP(B10,社員名!$B$4:$G$80,3,FALSE)&amp;" 様"</f>
        <v>稲井　佳暢 様</v>
      </c>
    </row>
    <row r="11" spans="2:10">
      <c r="B11" t="s">
        <v>507</v>
      </c>
      <c r="C11">
        <f ca="1">YEAR(TODAY())</f>
        <v>2026</v>
      </c>
      <c r="D11">
        <f ca="1">MONTH(TODAY())</f>
        <v>7</v>
      </c>
      <c r="E11">
        <f ca="1">DAY(TODAY())</f>
        <v>21</v>
      </c>
      <c r="G11" t="str">
        <f ca="1">TEXT((C11&amp;"/"&amp;D11&amp;"/"&amp;E11)*1,"AAA")</f>
        <v>火</v>
      </c>
      <c r="I11" s="1">
        <f ca="1">TODAY()+14</f>
        <v>46238</v>
      </c>
    </row>
    <row r="12" spans="2:10">
      <c r="B12" t="s">
        <v>514</v>
      </c>
      <c r="C12">
        <f ca="1">YEAR(I11)</f>
        <v>2026</v>
      </c>
      <c r="D12">
        <f ca="1">MONTH(I11)</f>
        <v>8</v>
      </c>
      <c r="E12">
        <f ca="1">DAY(I11)</f>
        <v>4</v>
      </c>
      <c r="G12" t="str">
        <f ca="1">TEXT((C12&amp;"/"&amp;D12&amp;"/"&amp;E12)*1,"AAA")</f>
        <v>火</v>
      </c>
    </row>
    <row r="13" spans="2:10">
      <c r="C13" t="s">
        <v>511</v>
      </c>
      <c r="D13" t="s">
        <v>512</v>
      </c>
      <c r="E13" s="66" t="s">
        <v>513</v>
      </c>
      <c r="G13" t="str">
        <f>C13&amp;D13&amp;E13&amp;F13</f>
        <v>OK04-A1-PC0</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1B7B-6417-4B92-98AD-6475D7BA292A}">
  <sheetPr codeName="Sheet1">
    <pageSetUpPr fitToPage="1"/>
  </sheetPr>
  <dimension ref="A1:V74"/>
  <sheetViews>
    <sheetView topLeftCell="A13" zoomScale="70" zoomScaleNormal="70" workbookViewId="0">
      <selection activeCell="D35" sqref="D35:D36"/>
    </sheetView>
  </sheetViews>
  <sheetFormatPr defaultColWidth="10.69921875" defaultRowHeight="16.8"/>
  <cols>
    <col min="1" max="1" width="121.69921875" bestFit="1" customWidth="1"/>
    <col min="4" max="4" width="10.59765625" customWidth="1"/>
    <col min="5" max="5" width="12.69921875" customWidth="1"/>
    <col min="6" max="6" width="17.09765625" bestFit="1" customWidth="1"/>
    <col min="7" max="7" width="11.8984375" customWidth="1"/>
    <col min="8" max="8" width="15.796875" bestFit="1" customWidth="1"/>
    <col min="9" max="9" width="9.19921875" bestFit="1" customWidth="1"/>
    <col min="10" max="10" width="17" bestFit="1" customWidth="1"/>
    <col min="11" max="11" width="10.8984375" bestFit="1" customWidth="1"/>
    <col min="12" max="12" width="8.59765625" bestFit="1" customWidth="1"/>
    <col min="13" max="13" width="4.3984375" bestFit="1" customWidth="1"/>
    <col min="15" max="15" width="10.69921875" customWidth="1"/>
    <col min="16" max="16" width="28" bestFit="1" customWidth="1"/>
    <col min="17" max="17" width="16.69921875" bestFit="1" customWidth="1"/>
    <col min="18" max="18" width="8.796875" bestFit="1" customWidth="1"/>
  </cols>
  <sheetData>
    <row r="1" spans="1:22">
      <c r="D1" s="24">
        <v>100</v>
      </c>
      <c r="E1" s="24">
        <v>60</v>
      </c>
      <c r="F1" s="24">
        <v>45</v>
      </c>
      <c r="G1" s="24">
        <v>30</v>
      </c>
      <c r="H1" s="24">
        <v>21</v>
      </c>
      <c r="I1" s="24">
        <v>14</v>
      </c>
      <c r="J1" s="24">
        <v>7</v>
      </c>
    </row>
    <row r="2" spans="1:22" ht="17.399999999999999" thickBot="1">
      <c r="A2" t="s">
        <v>0</v>
      </c>
      <c r="B2" s="2">
        <f ca="1">TODAY()</f>
        <v>46224</v>
      </c>
      <c r="C2">
        <f ca="1">B4-B2+1</f>
        <v>-691</v>
      </c>
      <c r="D2" s="11">
        <f ca="1">$B2+D$1</f>
        <v>46324</v>
      </c>
      <c r="E2" s="11">
        <f t="shared" ref="E2:J3" ca="1" si="0">$B2+E$1</f>
        <v>46284</v>
      </c>
      <c r="F2" s="11">
        <f t="shared" ca="1" si="0"/>
        <v>46269</v>
      </c>
      <c r="G2" s="11">
        <f t="shared" ca="1" si="0"/>
        <v>46254</v>
      </c>
      <c r="H2" s="11">
        <f ca="1">$B2+H$1</f>
        <v>46245</v>
      </c>
      <c r="I2" s="11">
        <f t="shared" ca="1" si="0"/>
        <v>46238</v>
      </c>
      <c r="J2" s="11">
        <f t="shared" ca="1" si="0"/>
        <v>46231</v>
      </c>
    </row>
    <row r="3" spans="1:22" ht="17.399999999999999" thickBot="1">
      <c r="A3" t="s">
        <v>1</v>
      </c>
      <c r="B3" s="4">
        <f ca="1">(K3&amp;"/"&amp;L3&amp;"/"&amp;M3)*1</f>
        <v>46224</v>
      </c>
      <c r="C3" s="5">
        <f ca="1">B4-B3+1</f>
        <v>-691</v>
      </c>
      <c r="D3" s="11">
        <f ca="1">$B3+D$1</f>
        <v>46324</v>
      </c>
      <c r="E3" s="11">
        <f t="shared" ca="1" si="0"/>
        <v>46284</v>
      </c>
      <c r="F3" s="11">
        <f t="shared" ca="1" si="0"/>
        <v>46269</v>
      </c>
      <c r="G3" s="11">
        <f t="shared" ca="1" si="0"/>
        <v>46254</v>
      </c>
      <c r="H3" s="11">
        <f ca="1">$B3+H$1</f>
        <v>46245</v>
      </c>
      <c r="I3" s="11">
        <f t="shared" ca="1" si="0"/>
        <v>46238</v>
      </c>
      <c r="J3" s="11">
        <f t="shared" ca="1" si="0"/>
        <v>46231</v>
      </c>
      <c r="K3">
        <f ca="1">YEAR(TODAY())</f>
        <v>2026</v>
      </c>
      <c r="L3">
        <f ca="1">MONTH(TODAY())</f>
        <v>7</v>
      </c>
      <c r="M3">
        <f ca="1">DAY(TODAY())</f>
        <v>21</v>
      </c>
    </row>
    <row r="4" spans="1:22">
      <c r="A4" t="s">
        <v>2</v>
      </c>
      <c r="B4" s="2">
        <f>(K4&amp;"/"&amp;L4&amp;"/"&amp;M4)*1</f>
        <v>45532</v>
      </c>
      <c r="K4">
        <v>2024</v>
      </c>
      <c r="L4">
        <v>8</v>
      </c>
      <c r="M4">
        <v>28</v>
      </c>
      <c r="Q4" t="s">
        <v>172</v>
      </c>
    </row>
    <row r="5" spans="1:22">
      <c r="A5" t="s">
        <v>3</v>
      </c>
      <c r="B5" s="3">
        <v>100</v>
      </c>
      <c r="C5" s="1">
        <f>B4-B5+1</f>
        <v>45433</v>
      </c>
      <c r="D5" s="31" t="s">
        <v>385</v>
      </c>
      <c r="E5" s="31"/>
      <c r="F5" s="31"/>
      <c r="G5" s="31"/>
      <c r="H5" s="31"/>
      <c r="I5" t="s">
        <v>181</v>
      </c>
      <c r="Q5" t="s">
        <v>173</v>
      </c>
    </row>
    <row r="6" spans="1:22">
      <c r="A6" t="s">
        <v>489</v>
      </c>
      <c r="D6" t="s">
        <v>4</v>
      </c>
      <c r="E6" t="s">
        <v>5</v>
      </c>
      <c r="Q6">
        <v>5</v>
      </c>
    </row>
    <row r="7" spans="1:22">
      <c r="D7" t="s">
        <v>6</v>
      </c>
      <c r="E7" t="s">
        <v>174</v>
      </c>
      <c r="I7" t="s">
        <v>443</v>
      </c>
      <c r="J7" t="s">
        <v>499</v>
      </c>
      <c r="K7" t="s">
        <v>5</v>
      </c>
      <c r="Q7">
        <v>14</v>
      </c>
    </row>
    <row r="8" spans="1:22">
      <c r="B8" s="23">
        <f>L12</f>
        <v>0</v>
      </c>
      <c r="D8">
        <f>LEN(D5)</f>
        <v>34</v>
      </c>
      <c r="E8" t="s">
        <v>180</v>
      </c>
      <c r="I8" t="s">
        <v>444</v>
      </c>
      <c r="J8" t="s">
        <v>499</v>
      </c>
      <c r="K8" t="s">
        <v>5</v>
      </c>
      <c r="Q8">
        <v>23</v>
      </c>
      <c r="R8" s="32">
        <f>Q7-Q6</f>
        <v>9</v>
      </c>
    </row>
    <row r="9" spans="1:22">
      <c r="A9" t="s">
        <v>437</v>
      </c>
      <c r="B9">
        <v>4</v>
      </c>
      <c r="C9" s="36" t="str">
        <f>MID(D5,F9,E9)</f>
        <v>加茂 直人</v>
      </c>
      <c r="D9" s="37"/>
      <c r="E9" s="38">
        <v>5</v>
      </c>
      <c r="F9" s="37">
        <v>4</v>
      </c>
      <c r="I9" t="s">
        <v>444</v>
      </c>
      <c r="Q9">
        <v>28</v>
      </c>
      <c r="R9" s="32">
        <f t="shared" ref="R9:R10" si="1">Q8-Q7</f>
        <v>9</v>
      </c>
    </row>
    <row r="10" spans="1:22">
      <c r="B10" s="30">
        <v>14</v>
      </c>
      <c r="C10" s="36">
        <f>MID(D5,F10,E10)*1</f>
        <v>2026</v>
      </c>
      <c r="D10" s="37"/>
      <c r="E10" s="38">
        <v>4</v>
      </c>
      <c r="F10" s="37">
        <v>24</v>
      </c>
      <c r="G10" s="37">
        <v>25</v>
      </c>
      <c r="Q10">
        <v>31</v>
      </c>
      <c r="R10" s="32">
        <f t="shared" si="1"/>
        <v>5</v>
      </c>
    </row>
    <row r="11" spans="1:22" ht="18">
      <c r="A11" s="19" t="str">
        <f>D20&amp;"様"</f>
        <v>瀬島 奏音様</v>
      </c>
      <c r="C11" s="36">
        <f>MID(D5,F11,E11)*1</f>
        <v>1</v>
      </c>
      <c r="D11" s="37" t="s">
        <v>7</v>
      </c>
      <c r="E11" s="39">
        <v>2</v>
      </c>
      <c r="F11" s="37">
        <v>29</v>
      </c>
      <c r="G11" s="37">
        <v>30</v>
      </c>
      <c r="I11" t="s">
        <v>8</v>
      </c>
    </row>
    <row r="12" spans="1:22" ht="22.95" customHeight="1">
      <c r="A12" s="6"/>
      <c r="B12">
        <f>FIND(D12,E7)</f>
        <v>1</v>
      </c>
      <c r="C12" s="36">
        <f>MID(D5,F12,E12)*1</f>
        <v>18</v>
      </c>
      <c r="D12" s="38">
        <v>2025</v>
      </c>
      <c r="E12" s="38">
        <v>2</v>
      </c>
      <c r="F12" s="38">
        <v>32</v>
      </c>
      <c r="G12" s="37">
        <v>33</v>
      </c>
      <c r="I12" t="s">
        <v>9</v>
      </c>
      <c r="J12" s="34" t="s">
        <v>10</v>
      </c>
      <c r="K12" t="s">
        <v>11</v>
      </c>
      <c r="P12" s="52" t="s">
        <v>171</v>
      </c>
      <c r="Q12" s="53" t="s">
        <v>483</v>
      </c>
    </row>
    <row r="13" spans="1:22" ht="18">
      <c r="A13" s="7" t="s">
        <v>12</v>
      </c>
      <c r="B13" s="16"/>
      <c r="C13" s="36">
        <f>MID(D5,F13,E13)*1</f>
        <v>100</v>
      </c>
      <c r="D13" s="38">
        <v>2025</v>
      </c>
      <c r="E13" s="38">
        <v>3</v>
      </c>
      <c r="F13" s="38">
        <v>14</v>
      </c>
      <c r="G13" s="37">
        <v>15</v>
      </c>
      <c r="H13">
        <v>1</v>
      </c>
      <c r="I13" t="s">
        <v>9</v>
      </c>
      <c r="J13" t="s">
        <v>14</v>
      </c>
      <c r="K13" t="s">
        <v>11</v>
      </c>
      <c r="P13" s="52" t="s">
        <v>4</v>
      </c>
      <c r="Q13" s="54" t="s">
        <v>5</v>
      </c>
      <c r="T13" t="s">
        <v>419</v>
      </c>
      <c r="U13" t="s">
        <v>420</v>
      </c>
      <c r="V13" t="s">
        <v>5</v>
      </c>
    </row>
    <row r="14" spans="1:22" ht="18">
      <c r="A14" s="21" t="s">
        <v>427</v>
      </c>
      <c r="H14">
        <v>2</v>
      </c>
      <c r="I14" t="s">
        <v>538</v>
      </c>
      <c r="J14" s="44" t="s">
        <v>541</v>
      </c>
      <c r="K14" t="s">
        <v>5</v>
      </c>
      <c r="P14" s="52" t="s">
        <v>6</v>
      </c>
      <c r="Q14" s="54" t="s">
        <v>463</v>
      </c>
      <c r="T14" t="s">
        <v>421</v>
      </c>
      <c r="U14" t="s">
        <v>420</v>
      </c>
      <c r="V14" t="s">
        <v>5</v>
      </c>
    </row>
    <row r="15" spans="1:22" ht="18">
      <c r="A15" s="7"/>
      <c r="E15" t="s">
        <v>13</v>
      </c>
      <c r="H15">
        <v>3</v>
      </c>
      <c r="I15" t="s">
        <v>539</v>
      </c>
      <c r="J15" s="44" t="s">
        <v>541</v>
      </c>
      <c r="K15" t="s">
        <v>5</v>
      </c>
    </row>
    <row r="16" spans="1:22" ht="18.600000000000001" thickBot="1">
      <c r="A16" s="20" t="s">
        <v>430</v>
      </c>
      <c r="E16" s="17" t="s">
        <v>9</v>
      </c>
      <c r="F16" s="12" t="s">
        <v>14</v>
      </c>
      <c r="G16" s="13" t="s">
        <v>11</v>
      </c>
      <c r="I16" t="s">
        <v>540</v>
      </c>
      <c r="J16" s="44" t="s">
        <v>541</v>
      </c>
      <c r="K16" t="s">
        <v>5</v>
      </c>
    </row>
    <row r="17" spans="1:18" ht="18.600000000000001" thickBot="1">
      <c r="A17" s="7"/>
      <c r="D17" s="29">
        <v>2</v>
      </c>
      <c r="E17" s="40" t="s">
        <v>419</v>
      </c>
      <c r="F17" s="42" t="s">
        <v>600</v>
      </c>
      <c r="G17" s="40" t="s">
        <v>5</v>
      </c>
      <c r="H17" t="s">
        <v>429</v>
      </c>
      <c r="P17" s="31" t="s">
        <v>429</v>
      </c>
      <c r="Q17" t="s">
        <v>171</v>
      </c>
      <c r="R17" t="s">
        <v>434</v>
      </c>
    </row>
    <row r="18" spans="1:18" ht="18">
      <c r="A18" s="7" t="s">
        <v>492</v>
      </c>
      <c r="D18" t="s">
        <v>4</v>
      </c>
      <c r="E18" t="s">
        <v>5</v>
      </c>
      <c r="F18" s="15" t="s">
        <v>15</v>
      </c>
      <c r="G18" s="14" t="s">
        <v>5</v>
      </c>
      <c r="J18" t="str">
        <f>MID(H15,H18+5,100)</f>
        <v/>
      </c>
      <c r="N18">
        <f>FIND("日",Q13)</f>
        <v>4</v>
      </c>
      <c r="Q18" t="s">
        <v>4</v>
      </c>
      <c r="R18" t="s">
        <v>5</v>
      </c>
    </row>
    <row r="19" spans="1:18" ht="18">
      <c r="A19" s="7" t="s">
        <v>490</v>
      </c>
      <c r="D19" t="s">
        <v>6</v>
      </c>
      <c r="E19" t="s">
        <v>16</v>
      </c>
      <c r="F19" t="s">
        <v>17</v>
      </c>
      <c r="G19" t="s">
        <v>5</v>
      </c>
      <c r="Q19" t="s">
        <v>6</v>
      </c>
      <c r="R19" t="s">
        <v>433</v>
      </c>
    </row>
    <row r="20" spans="1:18" ht="15.6" customHeight="1">
      <c r="A20" s="7"/>
      <c r="D20" s="35" t="str">
        <f t="shared" ref="D20:D24" si="2">IF($D$25=1,E20,IF($D$25=2,F20,IF($D$25=3,G20,IF($D$25=4,H20,IF($D$25=5,I20,J20)))))</f>
        <v>瀬島 奏音</v>
      </c>
      <c r="E20" s="36" t="str">
        <f>C9</f>
        <v>加茂 直人</v>
      </c>
      <c r="F20" s="40" t="str">
        <f>E17</f>
        <v>瀬島 奏音</v>
      </c>
      <c r="G20" s="33" t="str">
        <f>P20</f>
        <v>田中 航</v>
      </c>
      <c r="H20" s="33" t="str">
        <f>Q12</f>
        <v>森本 航成</v>
      </c>
      <c r="I20" s="33" t="str">
        <f>E17</f>
        <v>瀬島 奏音</v>
      </c>
      <c r="J20" s="33">
        <f>S20</f>
        <v>0</v>
      </c>
      <c r="K20" s="33">
        <f>T20</f>
        <v>0</v>
      </c>
      <c r="P20" s="33" t="str">
        <f>MID(R17,Q20,R20)</f>
        <v>田中 航</v>
      </c>
      <c r="Q20">
        <v>1</v>
      </c>
      <c r="R20">
        <v>5</v>
      </c>
    </row>
    <row r="21" spans="1:18" ht="15.6" customHeight="1">
      <c r="A21" s="7"/>
      <c r="D21" s="35">
        <f t="shared" si="2"/>
        <v>2026</v>
      </c>
      <c r="E21" s="36">
        <f>C10</f>
        <v>2026</v>
      </c>
      <c r="F21" s="40">
        <f>LEFT(F17,4)*1</f>
        <v>2026</v>
      </c>
      <c r="G21" s="33">
        <f>P22</f>
        <v>2026</v>
      </c>
      <c r="H21" s="43" t="str">
        <f>LEFT(TEXT(Q14,"YYYY"),4)</f>
        <v>2026</v>
      </c>
      <c r="I21" s="33">
        <f t="shared" ref="I21:K23" si="3">R22</f>
        <v>0</v>
      </c>
      <c r="J21" s="33">
        <f t="shared" si="3"/>
        <v>0</v>
      </c>
      <c r="K21" s="33">
        <f t="shared" si="3"/>
        <v>0</v>
      </c>
      <c r="P21" s="33">
        <f>MID(R18,Q21,R21)*1</f>
        <v>100</v>
      </c>
      <c r="Q21">
        <v>1</v>
      </c>
      <c r="R21">
        <f>FIND("日",R18)-1</f>
        <v>3</v>
      </c>
    </row>
    <row r="22" spans="1:18" ht="15.6" customHeight="1">
      <c r="A22" s="20" t="str">
        <f>"■リモートアクセス利用権限の"&amp;E25&amp;"の場合"</f>
        <v>■リモートアクセス利用権限の新規の場合</v>
      </c>
      <c r="D22" s="35">
        <f t="shared" si="2"/>
        <v>10</v>
      </c>
      <c r="E22" s="36">
        <f>C11</f>
        <v>1</v>
      </c>
      <c r="F22" s="40">
        <f>MID(F17,FIND("年",F17)+1,FIND("月",F17)-FIND("年",F17)-1)*1</f>
        <v>10</v>
      </c>
      <c r="G22" s="33">
        <f>P23</f>
        <v>4</v>
      </c>
      <c r="H22" s="50" t="str">
        <f>MID(TEXT(Q14,"YYYYMMDD"),6,2)</f>
        <v xml:space="preserve"> 7</v>
      </c>
      <c r="I22" s="33">
        <f t="shared" si="3"/>
        <v>2</v>
      </c>
      <c r="J22" s="33">
        <f t="shared" si="3"/>
        <v>0</v>
      </c>
      <c r="K22" s="33">
        <f t="shared" si="3"/>
        <v>0</v>
      </c>
      <c r="P22" s="33">
        <f>MID(R19,Q22,4)*1</f>
        <v>2026</v>
      </c>
      <c r="Q22">
        <v>1</v>
      </c>
    </row>
    <row r="23" spans="1:18" ht="18">
      <c r="A23" s="8" t="str">
        <f>IF(D25=2,D29,D30)</f>
        <v>No.74192 dowatec ネットリモート接続設定・利用申請書でいただきましたご利用権限を新規にて発行しております。</v>
      </c>
      <c r="D23" s="35">
        <f t="shared" si="2"/>
        <v>29</v>
      </c>
      <c r="E23" s="36">
        <f>C12</f>
        <v>18</v>
      </c>
      <c r="F23" s="40">
        <f>MID(F17,FIND("月",F17)+1,FIND("日",F17)-FIND("月",F17)-1)*1</f>
        <v>29</v>
      </c>
      <c r="G23" s="33">
        <f>P24</f>
        <v>25</v>
      </c>
      <c r="H23" s="50" t="str">
        <f>MID(TEXT(Q14,"YYYYMMDD"),9,2)</f>
        <v>26</v>
      </c>
      <c r="I23" s="33">
        <f t="shared" si="3"/>
        <v>2</v>
      </c>
      <c r="J23" s="33">
        <f t="shared" si="3"/>
        <v>0</v>
      </c>
      <c r="K23" s="33">
        <f t="shared" si="3"/>
        <v>0</v>
      </c>
      <c r="P23" s="33">
        <f>MID(R19,Q23,R23)*1</f>
        <v>4</v>
      </c>
      <c r="Q23">
        <v>6</v>
      </c>
      <c r="R23">
        <v>2</v>
      </c>
    </row>
    <row r="24" spans="1:18" ht="18">
      <c r="A24" s="7" t="str">
        <f ca="1">D36</f>
        <v>ご利用期間2026年07月21日(火曜日)から2026年10月29日(木曜日)までです</v>
      </c>
      <c r="B24" s="20"/>
      <c r="D24" s="35">
        <f t="shared" si="2"/>
        <v>100</v>
      </c>
      <c r="E24" s="36">
        <f>C13</f>
        <v>100</v>
      </c>
      <c r="F24" s="40">
        <f>MID(G17,1,FIND("日",G17)-1)*1</f>
        <v>100</v>
      </c>
      <c r="G24" s="33">
        <f>P21</f>
        <v>100</v>
      </c>
      <c r="H24" s="33">
        <f>LEFT(Q13,FIND("日",Q13)-1)*1</f>
        <v>100</v>
      </c>
      <c r="I24" s="33">
        <f t="shared" ref="I24:K24" si="4">R21</f>
        <v>3</v>
      </c>
      <c r="J24" s="33">
        <f t="shared" si="4"/>
        <v>0</v>
      </c>
      <c r="K24" s="33">
        <f t="shared" si="4"/>
        <v>0</v>
      </c>
      <c r="P24" s="33">
        <f>MID(R19,Q24,R24)*1</f>
        <v>25</v>
      </c>
      <c r="Q24">
        <v>9</v>
      </c>
      <c r="R24">
        <v>2</v>
      </c>
    </row>
    <row r="25" spans="1:18" ht="18.600000000000001" thickBot="1">
      <c r="A25" s="7" t="s">
        <v>428</v>
      </c>
      <c r="C25" s="20"/>
      <c r="D25" s="25">
        <v>2</v>
      </c>
      <c r="E25" t="str">
        <f>IF(D25=1,"新規1",IF(D25=2,"新規",IF(D25=3,"延長","その他")))</f>
        <v>新規</v>
      </c>
      <c r="F25" s="3" t="s">
        <v>177</v>
      </c>
      <c r="G25" s="41" t="s">
        <v>178</v>
      </c>
      <c r="H25" s="41" t="s">
        <v>179</v>
      </c>
    </row>
    <row r="26" spans="1:18">
      <c r="A26" t="s">
        <v>21</v>
      </c>
      <c r="D26" t="str">
        <f>TEXT((D21&amp;"/"&amp;D22&amp;"/"&amp;D23)*1,"aaa")</f>
        <v>木</v>
      </c>
      <c r="E26" t="s">
        <v>176</v>
      </c>
      <c r="F26" t="s">
        <v>175</v>
      </c>
      <c r="Q26" t="s">
        <v>101</v>
      </c>
      <c r="R26" t="s">
        <v>5</v>
      </c>
    </row>
    <row r="27" spans="1:18" ht="18.600000000000001" thickBot="1">
      <c r="A27" s="7" t="str">
        <f>"※"&amp;D20&amp;"様のスケジュールの方にリモートアクセス最終日ご利用日["&amp;"ご利用期限："&amp;D21&amp;"年"&amp;D22&amp;"月"&amp;D23&amp;"日"&amp;"]登録をさせていただきました。"</f>
        <v>※瀬島 奏音様のスケジュールの方にリモートアクセス最終日ご利用日[ご利用期限：2026年10月29日]登録をさせていただきました。</v>
      </c>
      <c r="G27" t="s">
        <v>464</v>
      </c>
      <c r="H27" s="44" t="s">
        <v>463</v>
      </c>
      <c r="I27" t="s">
        <v>5</v>
      </c>
    </row>
    <row r="28" spans="1:18" ht="18.600000000000001" thickBot="1">
      <c r="A28" s="7" t="s">
        <v>23</v>
      </c>
      <c r="B28" s="8"/>
      <c r="D28" s="9">
        <v>7</v>
      </c>
      <c r="E28" s="9">
        <v>4</v>
      </c>
      <c r="F28" s="22">
        <v>192</v>
      </c>
    </row>
    <row r="29" spans="1:18" ht="18">
      <c r="A29" s="7" t="s">
        <v>24</v>
      </c>
      <c r="B29" s="7"/>
      <c r="C29" s="8"/>
      <c r="D29" s="8" t="str">
        <f>"No."&amp;IF(F28&lt;100,D28&amp;E28&amp;TEXT(F28,"000"),D28&amp;E28&amp;F28)*1&amp;" dowatec ネットリモート接続設定・利用申請書でいただきましたご利用権限を"&amp;E25&amp;"にて発行しております。"</f>
        <v>No.74192 dowatec ネットリモート接続設定・利用申請書でいただきましたご利用権限を新規にて発行しております。</v>
      </c>
    </row>
    <row r="30" spans="1:18" ht="18">
      <c r="B30" s="7"/>
      <c r="C30" s="7"/>
      <c r="D30" s="8" t="str">
        <f>"No."&amp;IF(F28&lt;100,D28&amp;E28&amp;TEXT(F28,"000"),D28&amp;E28&amp;F28)*1&amp;" dowatec ネットリモート接続設定・利用申請いただきましたご利用権限を"&amp;E25&amp;"にて発行しております。※延長利用の場合はワークフローにて申請お願いします。"</f>
        <v>No.74192 dowatec ネットリモート接続設定・利用申請いただきましたご利用権限を新規にて発行しております。※延長利用の場合はワークフローにて申請お願いします。</v>
      </c>
      <c r="M30" t="s">
        <v>18</v>
      </c>
      <c r="N30" t="s">
        <v>19</v>
      </c>
      <c r="P30" t="s">
        <v>431</v>
      </c>
      <c r="Q30" t="s">
        <v>432</v>
      </c>
      <c r="R30" t="s">
        <v>5</v>
      </c>
    </row>
    <row r="31" spans="1:18" ht="18">
      <c r="A31" s="7" t="s">
        <v>25</v>
      </c>
      <c r="C31" s="7"/>
      <c r="M31" s="1"/>
      <c r="N31" s="10"/>
    </row>
    <row r="32" spans="1:18" ht="18">
      <c r="A32" s="7"/>
      <c r="B32" s="7"/>
      <c r="D32" t="s">
        <v>20</v>
      </c>
    </row>
    <row r="33" spans="1:18" ht="18">
      <c r="A33" s="20" t="s">
        <v>491</v>
      </c>
      <c r="B33" s="7"/>
      <c r="C33" s="7"/>
      <c r="D33" t="str">
        <f>"■申請番号No."&amp;IF(F28&lt;100,D28&amp;E28&amp;TEXT(F28,"000"),D28&amp;E28&amp;F28)*1&amp;"のリモート接続設定ご利用最終日です。※延長希望の場合は申請お願いします。"</f>
        <v>■申請番号No.74192のリモート接続設定ご利用最終日です。※延長希望の場合は申請お願いします。</v>
      </c>
    </row>
    <row r="34" spans="1:18" ht="18">
      <c r="A34" s="51" t="s">
        <v>436</v>
      </c>
      <c r="B34" s="7"/>
      <c r="C34" s="7"/>
      <c r="D34" t="s">
        <v>22</v>
      </c>
      <c r="R34" s="18"/>
    </row>
    <row r="35" spans="1:18" ht="18">
      <c r="A35" s="51"/>
      <c r="C35" s="7"/>
      <c r="D35" t="str">
        <f>"■申請番号No."&amp;IF(F28&lt;100,D28&amp;E28&amp;TEXT(F28,"000"),D28&amp;E28&amp;F28)*1&amp;"のリモート接続ワークフローでの申請の"</f>
        <v>■申請番号No.74192のリモート接続ワークフローでの申請の</v>
      </c>
    </row>
    <row r="36" spans="1:18">
      <c r="A36" s="51"/>
      <c r="D36" t="str">
        <f ca="1">"ご利用期間" &amp;TEXT(TODAY(),"yyyy年mm月dd日") &amp; "(" &amp; TEXT(TODAY(),"aaa") &amp; "曜日)" &amp; "から" &amp; D21 &amp;"年"&amp;D22&amp;"月"&amp;D23&amp;"日"&amp;"("&amp;TEXT(D26,"aaa")&amp;"曜日)までです"</f>
        <v>ご利用期間2026年07月21日(火曜日)から2026年10月29日(木曜日)までです</v>
      </c>
    </row>
    <row r="37" spans="1:18">
      <c r="A37" s="51"/>
    </row>
    <row r="39" spans="1:18">
      <c r="A39" t="s">
        <v>26</v>
      </c>
      <c r="D39" s="35" t="str">
        <f>MID(D20,1,FIND(" ",D20)-1)&amp;"　"&amp;MID(D20,FIND(" ",D20)+1,100)</f>
        <v>瀬島　奏音</v>
      </c>
    </row>
    <row r="41" spans="1:18">
      <c r="A41" t="str">
        <f>D20&amp;"様"</f>
        <v>瀬島 奏音様</v>
      </c>
    </row>
    <row r="43" spans="1:18">
      <c r="A43" t="s">
        <v>12</v>
      </c>
    </row>
    <row r="44" spans="1:18">
      <c r="A44" t="s">
        <v>27</v>
      </c>
    </row>
    <row r="45" spans="1:18">
      <c r="A45" t="str">
        <f>"BeatAccessをご利用いただきありがとうございます。"</f>
        <v>BeatAccessをご利用いただきありがとうございます。</v>
      </c>
    </row>
    <row r="46" spans="1:18">
      <c r="A46" t="str">
        <f>"以下に、"&amp;D20&amp;"様のBeatAccess IDをお送りいたします。"</f>
        <v>以下に、瀬島 奏音様のBeatAccess IDをお送りいたします。</v>
      </c>
    </row>
    <row r="48" spans="1:18">
      <c r="A48" t="str">
        <f>"BeatAccess ID: "&amp;VLOOKUP(D39,社員名!$A$4:$G$650,3,FALSE)</f>
        <v>BeatAccess ID: kanato_sejima</v>
      </c>
    </row>
    <row r="49" spans="1:8">
      <c r="A49" t="str">
        <f>"BeatAccess PASS: "&amp;VLOOKUP(D39,社員名!$A$4:$G$650,6,FALSE)</f>
        <v>BeatAccess PASS: FiehgAHz</v>
      </c>
    </row>
    <row r="51" spans="1:8">
      <c r="A51" t="s">
        <v>28</v>
      </c>
    </row>
    <row r="52" spans="1:8">
      <c r="A52" t="s">
        <v>29</v>
      </c>
    </row>
    <row r="54" spans="1:8">
      <c r="A54" t="s">
        <v>30</v>
      </c>
    </row>
    <row r="60" spans="1:8">
      <c r="A60" t="s">
        <v>384</v>
      </c>
    </row>
    <row r="61" spans="1:8">
      <c r="F61">
        <f>G57</f>
        <v>0</v>
      </c>
      <c r="G61">
        <f>G59</f>
        <v>0</v>
      </c>
      <c r="H61">
        <f>G58</f>
        <v>0</v>
      </c>
    </row>
    <row r="62" spans="1:8">
      <c r="A62" t="str">
        <f>D20&amp;"様"</f>
        <v>瀬島 奏音様</v>
      </c>
    </row>
    <row r="64" spans="1:8">
      <c r="A64" t="s">
        <v>12</v>
      </c>
    </row>
    <row r="65" spans="1:1">
      <c r="A65" t="s">
        <v>31</v>
      </c>
    </row>
    <row r="66" spans="1:1">
      <c r="A66" t="str">
        <f>"以下に、"&amp;L30&amp;"様のBeatAccess ID/PASSWORDをお送りいたします。"</f>
        <v>以下に、様のBeatAccess ID/PASSWORDをお送りいたします。</v>
      </c>
    </row>
    <row r="68" spans="1:1">
      <c r="A68" t="str">
        <f>"BeatAccess PASS: "&amp;VLOOKUP(D39,社員名!$A$4:$G$650,6,FALSE)</f>
        <v>BeatAccess PASS: FiehgAHz</v>
      </c>
    </row>
    <row r="71" spans="1:1">
      <c r="A71" t="s">
        <v>32</v>
      </c>
    </row>
    <row r="72" spans="1:1">
      <c r="A72" t="s">
        <v>29</v>
      </c>
    </row>
    <row r="74" spans="1:1">
      <c r="A74" t="s">
        <v>30</v>
      </c>
    </row>
  </sheetData>
  <phoneticPr fontId="7"/>
  <hyperlinks>
    <hyperlink ref="A34" r:id="rId1" xr:uid="{CE930F7E-4A34-44AA-9E60-5F8626E81967}"/>
  </hyperlinks>
  <pageMargins left="0.7" right="0.7" top="0.75" bottom="0.75" header="0.3" footer="0.3"/>
  <pageSetup paperSize="9" scale="2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cro1">
                <anchor moveWithCells="1" sizeWithCells="1">
                  <from>
                    <xdr:col>12</xdr:col>
                    <xdr:colOff>304800</xdr:colOff>
                    <xdr:row>10</xdr:row>
                    <xdr:rowOff>0</xdr:rowOff>
                  </from>
                  <to>
                    <xdr:col>14</xdr:col>
                    <xdr:colOff>68580</xdr:colOff>
                    <xdr:row>11</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C8734-9CDA-4C96-97A0-523DF4E59B8B}">
  <sheetPr codeName="Sheet2"/>
  <dimension ref="A1:I91"/>
  <sheetViews>
    <sheetView topLeftCell="A52" workbookViewId="0">
      <selection activeCell="F57" sqref="F57"/>
    </sheetView>
  </sheetViews>
  <sheetFormatPr defaultRowHeight="16.8"/>
  <cols>
    <col min="1" max="1" width="18" bestFit="1" customWidth="1"/>
    <col min="3" max="3" width="17" bestFit="1" customWidth="1"/>
    <col min="4" max="4" width="11.5" bestFit="1" customWidth="1"/>
    <col min="5" max="5" width="16.19921875" bestFit="1" customWidth="1"/>
    <col min="6" max="6" width="12.59765625" bestFit="1" customWidth="1"/>
    <col min="7" max="7" width="32.69921875" bestFit="1" customWidth="1"/>
    <col min="8" max="8" width="20.59765625" bestFit="1" customWidth="1"/>
    <col min="9" max="9" width="7.5" bestFit="1" customWidth="1"/>
  </cols>
  <sheetData>
    <row r="1" spans="1:8">
      <c r="A1" s="1" t="s">
        <v>446</v>
      </c>
      <c r="C1" s="1">
        <v>45845</v>
      </c>
      <c r="D1" t="s">
        <v>465</v>
      </c>
      <c r="H1" t="s">
        <v>466</v>
      </c>
    </row>
    <row r="2" spans="1:8">
      <c r="C2" t="s">
        <v>33</v>
      </c>
    </row>
    <row r="3" spans="1:8">
      <c r="A3" t="s">
        <v>9</v>
      </c>
      <c r="B3" t="s">
        <v>34</v>
      </c>
      <c r="C3" t="s">
        <v>35</v>
      </c>
      <c r="D3" t="s">
        <v>9</v>
      </c>
      <c r="E3" t="s">
        <v>36</v>
      </c>
      <c r="F3" t="s">
        <v>37</v>
      </c>
      <c r="G3" t="s">
        <v>38</v>
      </c>
      <c r="H3" t="s">
        <v>467</v>
      </c>
    </row>
    <row r="4" spans="1:8">
      <c r="A4" t="s">
        <v>200</v>
      </c>
      <c r="B4">
        <v>1</v>
      </c>
      <c r="C4" t="s">
        <v>108</v>
      </c>
      <c r="D4" t="s">
        <v>200</v>
      </c>
      <c r="E4" t="s">
        <v>201</v>
      </c>
      <c r="F4">
        <v>114741</v>
      </c>
      <c r="G4" t="s">
        <v>109</v>
      </c>
    </row>
    <row r="5" spans="1:8">
      <c r="A5" t="s">
        <v>202</v>
      </c>
      <c r="B5">
        <v>2</v>
      </c>
      <c r="C5" t="s">
        <v>39</v>
      </c>
      <c r="D5" t="s">
        <v>202</v>
      </c>
      <c r="E5" t="s">
        <v>203</v>
      </c>
      <c r="F5">
        <v>283878</v>
      </c>
      <c r="G5" t="s">
        <v>204</v>
      </c>
      <c r="H5" t="s">
        <v>468</v>
      </c>
    </row>
    <row r="6" spans="1:8">
      <c r="A6" t="s">
        <v>205</v>
      </c>
      <c r="B6">
        <v>3</v>
      </c>
      <c r="C6" t="s">
        <v>94</v>
      </c>
      <c r="D6" t="s">
        <v>205</v>
      </c>
      <c r="E6" t="s">
        <v>95</v>
      </c>
      <c r="F6">
        <v>717136</v>
      </c>
      <c r="G6" t="s">
        <v>206</v>
      </c>
      <c r="H6" t="s">
        <v>469</v>
      </c>
    </row>
    <row r="7" spans="1:8">
      <c r="A7" t="s">
        <v>207</v>
      </c>
      <c r="B7">
        <v>4</v>
      </c>
      <c r="C7" t="s">
        <v>54</v>
      </c>
      <c r="D7" t="s">
        <v>207</v>
      </c>
      <c r="E7" t="s">
        <v>208</v>
      </c>
      <c r="F7" t="s">
        <v>55</v>
      </c>
      <c r="G7" t="s">
        <v>209</v>
      </c>
    </row>
    <row r="8" spans="1:8">
      <c r="A8" t="s">
        <v>210</v>
      </c>
      <c r="B8">
        <v>5</v>
      </c>
      <c r="C8" t="s">
        <v>80</v>
      </c>
      <c r="D8" t="s">
        <v>210</v>
      </c>
      <c r="E8" t="s">
        <v>211</v>
      </c>
      <c r="F8" t="s">
        <v>81</v>
      </c>
      <c r="G8" t="s">
        <v>212</v>
      </c>
    </row>
    <row r="9" spans="1:8">
      <c r="A9" t="s">
        <v>213</v>
      </c>
      <c r="B9">
        <v>6</v>
      </c>
      <c r="C9" t="s">
        <v>75</v>
      </c>
      <c r="D9" t="s">
        <v>213</v>
      </c>
      <c r="E9" t="s">
        <v>214</v>
      </c>
      <c r="F9" t="s">
        <v>76</v>
      </c>
      <c r="G9" t="s">
        <v>215</v>
      </c>
    </row>
    <row r="10" spans="1:8">
      <c r="A10" t="s">
        <v>216</v>
      </c>
      <c r="B10">
        <v>7</v>
      </c>
      <c r="C10" t="s">
        <v>92</v>
      </c>
      <c r="D10" t="s">
        <v>216</v>
      </c>
      <c r="E10" t="s">
        <v>217</v>
      </c>
      <c r="F10" t="s">
        <v>93</v>
      </c>
      <c r="G10" t="s">
        <v>218</v>
      </c>
    </row>
    <row r="11" spans="1:8">
      <c r="A11" t="s">
        <v>219</v>
      </c>
      <c r="B11">
        <v>8</v>
      </c>
      <c r="C11" t="s">
        <v>56</v>
      </c>
      <c r="D11" t="s">
        <v>219</v>
      </c>
      <c r="E11" t="s">
        <v>220</v>
      </c>
      <c r="F11" t="s">
        <v>57</v>
      </c>
      <c r="G11" t="s">
        <v>221</v>
      </c>
    </row>
    <row r="12" spans="1:8">
      <c r="A12" t="s">
        <v>222</v>
      </c>
      <c r="B12">
        <v>9</v>
      </c>
      <c r="C12" t="s">
        <v>119</v>
      </c>
      <c r="D12" t="s">
        <v>222</v>
      </c>
      <c r="E12" t="s">
        <v>223</v>
      </c>
      <c r="F12" t="s">
        <v>120</v>
      </c>
      <c r="G12" t="s">
        <v>224</v>
      </c>
    </row>
    <row r="13" spans="1:8">
      <c r="A13" t="s">
        <v>225</v>
      </c>
      <c r="B13">
        <v>10</v>
      </c>
      <c r="C13" t="s">
        <v>79</v>
      </c>
      <c r="D13" t="s">
        <v>225</v>
      </c>
      <c r="E13" t="s">
        <v>226</v>
      </c>
      <c r="F13">
        <v>211590</v>
      </c>
      <c r="G13" t="s">
        <v>227</v>
      </c>
    </row>
    <row r="14" spans="1:8">
      <c r="A14" t="s">
        <v>228</v>
      </c>
      <c r="B14">
        <v>11</v>
      </c>
      <c r="C14" t="s">
        <v>71</v>
      </c>
      <c r="D14" t="s">
        <v>228</v>
      </c>
      <c r="E14" t="s">
        <v>229</v>
      </c>
      <c r="F14" t="s">
        <v>72</v>
      </c>
      <c r="G14" t="s">
        <v>230</v>
      </c>
    </row>
    <row r="15" spans="1:8">
      <c r="A15" t="s">
        <v>231</v>
      </c>
      <c r="B15">
        <v>12</v>
      </c>
      <c r="C15" t="s">
        <v>62</v>
      </c>
      <c r="D15" t="s">
        <v>231</v>
      </c>
      <c r="E15" t="s">
        <v>232</v>
      </c>
      <c r="F15" t="s">
        <v>63</v>
      </c>
      <c r="G15" t="s">
        <v>233</v>
      </c>
      <c r="H15" t="s">
        <v>470</v>
      </c>
    </row>
    <row r="16" spans="1:8">
      <c r="A16" t="s">
        <v>234</v>
      </c>
      <c r="B16">
        <v>13</v>
      </c>
      <c r="C16" t="s">
        <v>58</v>
      </c>
      <c r="D16" t="s">
        <v>234</v>
      </c>
      <c r="E16" t="s">
        <v>235</v>
      </c>
      <c r="F16" t="s">
        <v>59</v>
      </c>
      <c r="G16" t="s">
        <v>236</v>
      </c>
    </row>
    <row r="17" spans="1:8">
      <c r="A17" t="s">
        <v>237</v>
      </c>
      <c r="B17">
        <v>14</v>
      </c>
      <c r="C17" t="s">
        <v>40</v>
      </c>
      <c r="D17" t="s">
        <v>237</v>
      </c>
      <c r="E17" t="s">
        <v>41</v>
      </c>
      <c r="F17" t="s">
        <v>42</v>
      </c>
      <c r="G17" t="s">
        <v>238</v>
      </c>
    </row>
    <row r="18" spans="1:8">
      <c r="A18" t="s">
        <v>239</v>
      </c>
      <c r="B18">
        <v>15</v>
      </c>
      <c r="C18" t="s">
        <v>110</v>
      </c>
      <c r="D18" t="s">
        <v>239</v>
      </c>
      <c r="E18" t="s">
        <v>240</v>
      </c>
      <c r="F18" t="s">
        <v>111</v>
      </c>
      <c r="G18" t="s">
        <v>241</v>
      </c>
    </row>
    <row r="19" spans="1:8">
      <c r="A19" t="s">
        <v>242</v>
      </c>
      <c r="B19">
        <v>16</v>
      </c>
      <c r="C19" t="s">
        <v>64</v>
      </c>
      <c r="D19" t="s">
        <v>242</v>
      </c>
      <c r="E19" t="s">
        <v>243</v>
      </c>
      <c r="F19">
        <v>343229</v>
      </c>
      <c r="G19" t="s">
        <v>244</v>
      </c>
    </row>
    <row r="20" spans="1:8">
      <c r="A20" t="s">
        <v>245</v>
      </c>
      <c r="B20">
        <v>17</v>
      </c>
      <c r="C20" t="s">
        <v>153</v>
      </c>
      <c r="D20" t="s">
        <v>245</v>
      </c>
      <c r="E20" t="s">
        <v>246</v>
      </c>
      <c r="F20" t="s">
        <v>154</v>
      </c>
      <c r="G20" t="s">
        <v>247</v>
      </c>
    </row>
    <row r="21" spans="1:8">
      <c r="A21" t="s">
        <v>248</v>
      </c>
      <c r="B21">
        <v>18</v>
      </c>
      <c r="C21" t="s">
        <v>43</v>
      </c>
      <c r="D21" t="s">
        <v>248</v>
      </c>
      <c r="E21" t="s">
        <v>44</v>
      </c>
      <c r="F21" t="s">
        <v>45</v>
      </c>
      <c r="G21" t="s">
        <v>249</v>
      </c>
    </row>
    <row r="22" spans="1:8">
      <c r="A22" t="s">
        <v>250</v>
      </c>
      <c r="B22">
        <v>19</v>
      </c>
      <c r="C22" t="s">
        <v>69</v>
      </c>
      <c r="D22" t="s">
        <v>250</v>
      </c>
      <c r="E22" t="s">
        <v>251</v>
      </c>
      <c r="F22" t="s">
        <v>70</v>
      </c>
      <c r="G22" t="s">
        <v>252</v>
      </c>
    </row>
    <row r="23" spans="1:8">
      <c r="A23" t="s">
        <v>253</v>
      </c>
      <c r="B23">
        <v>20</v>
      </c>
      <c r="C23" t="s">
        <v>82</v>
      </c>
      <c r="D23" t="s">
        <v>253</v>
      </c>
      <c r="E23" t="s">
        <v>254</v>
      </c>
      <c r="F23" t="s">
        <v>83</v>
      </c>
      <c r="G23" t="s">
        <v>255</v>
      </c>
    </row>
    <row r="24" spans="1:8">
      <c r="A24" t="s">
        <v>256</v>
      </c>
      <c r="B24">
        <v>21</v>
      </c>
      <c r="C24" t="s">
        <v>84</v>
      </c>
      <c r="D24" t="s">
        <v>256</v>
      </c>
      <c r="E24" t="s">
        <v>257</v>
      </c>
      <c r="F24" t="s">
        <v>85</v>
      </c>
      <c r="G24" t="s">
        <v>258</v>
      </c>
    </row>
    <row r="25" spans="1:8">
      <c r="A25" t="s">
        <v>259</v>
      </c>
      <c r="B25">
        <v>22</v>
      </c>
      <c r="C25" t="s">
        <v>46</v>
      </c>
      <c r="D25" t="s">
        <v>259</v>
      </c>
      <c r="E25" t="s">
        <v>260</v>
      </c>
      <c r="F25" t="s">
        <v>47</v>
      </c>
      <c r="G25" t="s">
        <v>261</v>
      </c>
    </row>
    <row r="26" spans="1:8">
      <c r="A26" t="s">
        <v>262</v>
      </c>
      <c r="B26">
        <v>23</v>
      </c>
      <c r="C26" t="s">
        <v>493</v>
      </c>
      <c r="D26" t="s">
        <v>262</v>
      </c>
      <c r="E26" t="s">
        <v>263</v>
      </c>
      <c r="G26" t="s">
        <v>53</v>
      </c>
      <c r="H26" t="s">
        <v>471</v>
      </c>
    </row>
    <row r="27" spans="1:8">
      <c r="A27" t="s">
        <v>264</v>
      </c>
      <c r="B27">
        <v>24</v>
      </c>
      <c r="C27" t="s">
        <v>96</v>
      </c>
      <c r="D27" t="s">
        <v>264</v>
      </c>
      <c r="E27" t="s">
        <v>265</v>
      </c>
      <c r="F27" t="s">
        <v>97</v>
      </c>
      <c r="G27" t="s">
        <v>266</v>
      </c>
    </row>
    <row r="28" spans="1:8">
      <c r="A28" t="s">
        <v>267</v>
      </c>
      <c r="B28">
        <v>25</v>
      </c>
      <c r="C28" t="s">
        <v>86</v>
      </c>
      <c r="D28" t="s">
        <v>267</v>
      </c>
      <c r="E28" t="s">
        <v>268</v>
      </c>
      <c r="F28">
        <v>156313</v>
      </c>
      <c r="G28" t="s">
        <v>269</v>
      </c>
    </row>
    <row r="29" spans="1:8">
      <c r="A29" t="s">
        <v>270</v>
      </c>
      <c r="B29">
        <v>26</v>
      </c>
      <c r="C29" t="s">
        <v>155</v>
      </c>
      <c r="D29" t="s">
        <v>270</v>
      </c>
      <c r="E29" t="s">
        <v>271</v>
      </c>
      <c r="F29" t="s">
        <v>156</v>
      </c>
      <c r="G29" t="s">
        <v>272</v>
      </c>
    </row>
    <row r="30" spans="1:8">
      <c r="A30" t="s">
        <v>273</v>
      </c>
      <c r="B30">
        <v>27</v>
      </c>
      <c r="C30" t="s">
        <v>147</v>
      </c>
      <c r="D30" t="s">
        <v>273</v>
      </c>
      <c r="E30" t="s">
        <v>274</v>
      </c>
      <c r="F30" t="s">
        <v>148</v>
      </c>
      <c r="G30" t="s">
        <v>275</v>
      </c>
    </row>
    <row r="31" spans="1:8">
      <c r="A31" t="s">
        <v>276</v>
      </c>
      <c r="B31">
        <v>28</v>
      </c>
      <c r="C31" t="s">
        <v>145</v>
      </c>
      <c r="D31" t="s">
        <v>276</v>
      </c>
      <c r="E31" t="s">
        <v>277</v>
      </c>
      <c r="F31" t="s">
        <v>146</v>
      </c>
      <c r="G31" t="s">
        <v>278</v>
      </c>
    </row>
    <row r="32" spans="1:8">
      <c r="A32" t="s">
        <v>279</v>
      </c>
      <c r="B32">
        <v>29</v>
      </c>
      <c r="C32" t="s">
        <v>103</v>
      </c>
      <c r="D32" t="s">
        <v>279</v>
      </c>
      <c r="E32" t="s">
        <v>280</v>
      </c>
      <c r="F32" t="s">
        <v>104</v>
      </c>
      <c r="G32" t="s">
        <v>281</v>
      </c>
    </row>
    <row r="33" spans="1:9">
      <c r="A33" t="s">
        <v>282</v>
      </c>
      <c r="B33">
        <v>30</v>
      </c>
      <c r="C33" t="s">
        <v>105</v>
      </c>
      <c r="D33" t="s">
        <v>282</v>
      </c>
      <c r="E33" t="s">
        <v>106</v>
      </c>
      <c r="F33" t="s">
        <v>107</v>
      </c>
      <c r="G33" t="s">
        <v>283</v>
      </c>
    </row>
    <row r="34" spans="1:9">
      <c r="A34" t="s">
        <v>284</v>
      </c>
      <c r="B34">
        <v>31</v>
      </c>
      <c r="C34" t="s">
        <v>157</v>
      </c>
      <c r="D34" t="s">
        <v>284</v>
      </c>
      <c r="E34" t="s">
        <v>285</v>
      </c>
      <c r="F34" t="s">
        <v>158</v>
      </c>
      <c r="G34" t="s">
        <v>286</v>
      </c>
    </row>
    <row r="35" spans="1:9">
      <c r="A35" t="s">
        <v>287</v>
      </c>
      <c r="B35">
        <v>32</v>
      </c>
      <c r="C35" t="s">
        <v>123</v>
      </c>
      <c r="D35" t="s">
        <v>287</v>
      </c>
      <c r="E35" t="s">
        <v>288</v>
      </c>
      <c r="F35" t="s">
        <v>124</v>
      </c>
      <c r="G35" t="s">
        <v>289</v>
      </c>
      <c r="H35" t="s">
        <v>472</v>
      </c>
    </row>
    <row r="36" spans="1:9">
      <c r="A36" t="s">
        <v>290</v>
      </c>
      <c r="B36">
        <v>33</v>
      </c>
      <c r="C36" t="s">
        <v>134</v>
      </c>
      <c r="D36" t="s">
        <v>290</v>
      </c>
      <c r="E36" t="s">
        <v>135</v>
      </c>
      <c r="F36" t="s">
        <v>136</v>
      </c>
      <c r="G36" t="s">
        <v>291</v>
      </c>
    </row>
    <row r="37" spans="1:9">
      <c r="A37" t="s">
        <v>292</v>
      </c>
      <c r="B37">
        <v>34</v>
      </c>
      <c r="C37" t="s">
        <v>137</v>
      </c>
      <c r="D37" t="s">
        <v>292</v>
      </c>
      <c r="E37" t="s">
        <v>293</v>
      </c>
      <c r="F37" t="s">
        <v>138</v>
      </c>
      <c r="G37" t="s">
        <v>294</v>
      </c>
    </row>
    <row r="38" spans="1:9">
      <c r="A38" t="s">
        <v>295</v>
      </c>
      <c r="B38">
        <v>35</v>
      </c>
      <c r="C38" t="s">
        <v>139</v>
      </c>
      <c r="D38" t="s">
        <v>295</v>
      </c>
      <c r="E38" t="s">
        <v>296</v>
      </c>
      <c r="F38" t="s">
        <v>140</v>
      </c>
      <c r="G38" t="s">
        <v>297</v>
      </c>
    </row>
    <row r="39" spans="1:9">
      <c r="A39" t="s">
        <v>298</v>
      </c>
      <c r="B39">
        <v>36</v>
      </c>
      <c r="C39" t="s">
        <v>48</v>
      </c>
      <c r="D39" t="s">
        <v>298</v>
      </c>
      <c r="E39" t="s">
        <v>299</v>
      </c>
      <c r="F39">
        <v>351104</v>
      </c>
      <c r="G39" t="s">
        <v>300</v>
      </c>
    </row>
    <row r="40" spans="1:9">
      <c r="A40" t="s">
        <v>301</v>
      </c>
      <c r="B40">
        <v>37</v>
      </c>
      <c r="C40" t="s">
        <v>121</v>
      </c>
      <c r="D40" t="s">
        <v>301</v>
      </c>
      <c r="E40" t="s">
        <v>302</v>
      </c>
      <c r="F40" t="s">
        <v>122</v>
      </c>
      <c r="G40" t="s">
        <v>303</v>
      </c>
      <c r="H40" s="1">
        <v>45484</v>
      </c>
    </row>
    <row r="41" spans="1:9">
      <c r="A41" t="s">
        <v>304</v>
      </c>
      <c r="B41">
        <v>38</v>
      </c>
      <c r="C41" t="s">
        <v>130</v>
      </c>
      <c r="D41" t="s">
        <v>304</v>
      </c>
      <c r="E41" t="s">
        <v>305</v>
      </c>
      <c r="F41" t="s">
        <v>131</v>
      </c>
      <c r="G41" t="s">
        <v>306</v>
      </c>
    </row>
    <row r="42" spans="1:9">
      <c r="A42" t="s">
        <v>307</v>
      </c>
      <c r="B42">
        <v>39</v>
      </c>
      <c r="C42" t="s">
        <v>132</v>
      </c>
      <c r="D42" t="s">
        <v>307</v>
      </c>
      <c r="E42" t="s">
        <v>308</v>
      </c>
      <c r="F42" t="s">
        <v>133</v>
      </c>
      <c r="G42" t="s">
        <v>309</v>
      </c>
    </row>
    <row r="43" spans="1:9">
      <c r="A43" t="s">
        <v>310</v>
      </c>
      <c r="B43">
        <v>40</v>
      </c>
      <c r="C43" t="s">
        <v>125</v>
      </c>
      <c r="D43" t="s">
        <v>310</v>
      </c>
      <c r="E43" t="s">
        <v>311</v>
      </c>
      <c r="F43" t="s">
        <v>126</v>
      </c>
      <c r="G43" t="s">
        <v>312</v>
      </c>
      <c r="I43">
        <v>337990</v>
      </c>
    </row>
    <row r="44" spans="1:9">
      <c r="A44" t="s">
        <v>313</v>
      </c>
      <c r="B44">
        <v>41</v>
      </c>
      <c r="C44" t="s">
        <v>128</v>
      </c>
      <c r="D44" t="s">
        <v>313</v>
      </c>
      <c r="E44" t="s">
        <v>314</v>
      </c>
      <c r="F44" t="s">
        <v>129</v>
      </c>
      <c r="G44" t="s">
        <v>315</v>
      </c>
      <c r="H44" t="s">
        <v>473</v>
      </c>
    </row>
    <row r="45" spans="1:9">
      <c r="A45" t="s">
        <v>316</v>
      </c>
      <c r="B45">
        <v>42</v>
      </c>
      <c r="C45" t="s">
        <v>127</v>
      </c>
      <c r="D45" t="s">
        <v>316</v>
      </c>
      <c r="E45" t="s">
        <v>317</v>
      </c>
      <c r="F45">
        <v>194414</v>
      </c>
      <c r="G45" t="s">
        <v>318</v>
      </c>
    </row>
    <row r="46" spans="1:9">
      <c r="A46" t="s">
        <v>319</v>
      </c>
      <c r="B46">
        <v>43</v>
      </c>
      <c r="C46" t="s">
        <v>60</v>
      </c>
      <c r="D46" t="s">
        <v>319</v>
      </c>
      <c r="E46" t="s">
        <v>320</v>
      </c>
      <c r="F46" t="s">
        <v>61</v>
      </c>
      <c r="G46" t="s">
        <v>321</v>
      </c>
    </row>
    <row r="47" spans="1:9">
      <c r="A47" t="s">
        <v>322</v>
      </c>
      <c r="B47">
        <v>44</v>
      </c>
      <c r="C47" t="s">
        <v>151</v>
      </c>
      <c r="D47" t="s">
        <v>322</v>
      </c>
      <c r="E47" t="s">
        <v>323</v>
      </c>
      <c r="F47" t="s">
        <v>152</v>
      </c>
      <c r="G47" t="s">
        <v>324</v>
      </c>
    </row>
    <row r="48" spans="1:9">
      <c r="A48" t="s">
        <v>326</v>
      </c>
      <c r="B48">
        <v>45</v>
      </c>
      <c r="C48" t="s">
        <v>325</v>
      </c>
      <c r="D48" t="s">
        <v>326</v>
      </c>
      <c r="E48" t="s">
        <v>327</v>
      </c>
      <c r="F48" t="s">
        <v>494</v>
      </c>
      <c r="G48" t="s">
        <v>328</v>
      </c>
      <c r="H48" t="s">
        <v>471</v>
      </c>
    </row>
    <row r="49" spans="1:8">
      <c r="A49" t="s">
        <v>329</v>
      </c>
      <c r="B49">
        <v>46</v>
      </c>
      <c r="C49" t="s">
        <v>49</v>
      </c>
      <c r="D49" t="s">
        <v>329</v>
      </c>
      <c r="E49" t="s">
        <v>330</v>
      </c>
      <c r="F49">
        <v>325316</v>
      </c>
      <c r="G49" t="s">
        <v>331</v>
      </c>
    </row>
    <row r="50" spans="1:8">
      <c r="A50" t="s">
        <v>332</v>
      </c>
      <c r="B50">
        <v>47</v>
      </c>
      <c r="C50" t="s">
        <v>49</v>
      </c>
      <c r="D50" t="s">
        <v>332</v>
      </c>
      <c r="E50" t="s">
        <v>330</v>
      </c>
      <c r="G50" t="s">
        <v>331</v>
      </c>
      <c r="H50" t="s">
        <v>471</v>
      </c>
    </row>
    <row r="51" spans="1:8">
      <c r="A51" t="s">
        <v>333</v>
      </c>
      <c r="B51">
        <v>48</v>
      </c>
      <c r="C51" t="s">
        <v>150</v>
      </c>
      <c r="D51" t="s">
        <v>333</v>
      </c>
      <c r="E51" t="s">
        <v>334</v>
      </c>
      <c r="F51" t="s">
        <v>448</v>
      </c>
      <c r="G51" t="s">
        <v>335</v>
      </c>
    </row>
    <row r="52" spans="1:8">
      <c r="A52" t="s">
        <v>336</v>
      </c>
      <c r="B52">
        <v>49</v>
      </c>
      <c r="C52" t="s">
        <v>149</v>
      </c>
      <c r="D52" t="s">
        <v>336</v>
      </c>
      <c r="E52" t="s">
        <v>337</v>
      </c>
      <c r="F52">
        <v>349285</v>
      </c>
      <c r="G52" t="s">
        <v>338</v>
      </c>
      <c r="H52" t="s">
        <v>474</v>
      </c>
    </row>
    <row r="53" spans="1:8">
      <c r="A53" t="s">
        <v>183</v>
      </c>
      <c r="B53">
        <v>50</v>
      </c>
      <c r="C53" t="s">
        <v>167</v>
      </c>
      <c r="D53" t="s">
        <v>183</v>
      </c>
      <c r="E53" t="s">
        <v>168</v>
      </c>
      <c r="F53" t="s">
        <v>169</v>
      </c>
      <c r="G53" t="s">
        <v>170</v>
      </c>
    </row>
    <row r="54" spans="1:8">
      <c r="A54" t="s">
        <v>339</v>
      </c>
      <c r="B54">
        <v>51</v>
      </c>
      <c r="C54" t="s">
        <v>143</v>
      </c>
      <c r="D54" t="s">
        <v>339</v>
      </c>
      <c r="E54" t="s">
        <v>340</v>
      </c>
      <c r="F54" t="s">
        <v>144</v>
      </c>
      <c r="G54" t="s">
        <v>341</v>
      </c>
    </row>
    <row r="55" spans="1:8">
      <c r="A55" t="s">
        <v>342</v>
      </c>
      <c r="B55">
        <v>52</v>
      </c>
      <c r="C55" t="s">
        <v>73</v>
      </c>
      <c r="D55" t="s">
        <v>342</v>
      </c>
      <c r="E55" t="s">
        <v>343</v>
      </c>
      <c r="F55" t="s">
        <v>74</v>
      </c>
      <c r="G55" t="s">
        <v>344</v>
      </c>
    </row>
    <row r="56" spans="1:8">
      <c r="A56" t="s">
        <v>345</v>
      </c>
      <c r="B56">
        <v>53</v>
      </c>
      <c r="C56" t="s">
        <v>112</v>
      </c>
      <c r="D56" t="s">
        <v>345</v>
      </c>
      <c r="E56" t="s">
        <v>346</v>
      </c>
      <c r="F56" t="s">
        <v>113</v>
      </c>
      <c r="G56" t="s">
        <v>347</v>
      </c>
      <c r="H56" t="s">
        <v>475</v>
      </c>
    </row>
    <row r="57" spans="1:8">
      <c r="A57" t="s">
        <v>348</v>
      </c>
      <c r="B57">
        <v>54</v>
      </c>
      <c r="C57" t="s">
        <v>114</v>
      </c>
      <c r="D57" t="s">
        <v>348</v>
      </c>
      <c r="E57" t="s">
        <v>115</v>
      </c>
      <c r="F57" t="s">
        <v>116</v>
      </c>
      <c r="G57" t="s">
        <v>349</v>
      </c>
    </row>
    <row r="58" spans="1:8">
      <c r="A58" t="s">
        <v>350</v>
      </c>
      <c r="B58">
        <v>55</v>
      </c>
      <c r="C58" t="s">
        <v>98</v>
      </c>
      <c r="D58" t="s">
        <v>350</v>
      </c>
      <c r="E58" t="s">
        <v>351</v>
      </c>
      <c r="F58" t="s">
        <v>99</v>
      </c>
      <c r="G58" t="s">
        <v>352</v>
      </c>
    </row>
    <row r="59" spans="1:8">
      <c r="A59" t="s">
        <v>165</v>
      </c>
      <c r="B59">
        <v>56</v>
      </c>
      <c r="C59" t="s">
        <v>162</v>
      </c>
      <c r="D59" t="s">
        <v>165</v>
      </c>
      <c r="E59" t="s">
        <v>163</v>
      </c>
      <c r="F59" t="s">
        <v>166</v>
      </c>
      <c r="G59" t="s">
        <v>164</v>
      </c>
    </row>
    <row r="60" spans="1:8">
      <c r="A60" t="s">
        <v>353</v>
      </c>
      <c r="B60">
        <v>57</v>
      </c>
      <c r="C60" t="s">
        <v>87</v>
      </c>
      <c r="D60" t="s">
        <v>353</v>
      </c>
      <c r="E60" t="s">
        <v>354</v>
      </c>
      <c r="F60" t="s">
        <v>88</v>
      </c>
      <c r="G60" t="s">
        <v>355</v>
      </c>
    </row>
    <row r="61" spans="1:8">
      <c r="A61" t="s">
        <v>356</v>
      </c>
      <c r="B61">
        <v>58</v>
      </c>
      <c r="C61" t="s">
        <v>77</v>
      </c>
      <c r="D61" t="s">
        <v>356</v>
      </c>
      <c r="E61" t="s">
        <v>357</v>
      </c>
      <c r="F61" t="s">
        <v>78</v>
      </c>
      <c r="G61" t="s">
        <v>358</v>
      </c>
    </row>
    <row r="62" spans="1:8">
      <c r="A62" t="s">
        <v>359</v>
      </c>
      <c r="B62">
        <v>59</v>
      </c>
      <c r="C62" t="s">
        <v>67</v>
      </c>
      <c r="D62" t="s">
        <v>359</v>
      </c>
      <c r="E62" t="s">
        <v>360</v>
      </c>
      <c r="F62" t="s">
        <v>68</v>
      </c>
      <c r="G62" t="s">
        <v>361</v>
      </c>
    </row>
    <row r="63" spans="1:8">
      <c r="A63" t="s">
        <v>362</v>
      </c>
      <c r="B63">
        <v>60</v>
      </c>
      <c r="C63" t="s">
        <v>117</v>
      </c>
      <c r="D63" t="s">
        <v>362</v>
      </c>
      <c r="E63" t="s">
        <v>363</v>
      </c>
      <c r="F63" t="s">
        <v>118</v>
      </c>
      <c r="G63" t="s">
        <v>364</v>
      </c>
    </row>
    <row r="64" spans="1:8">
      <c r="A64" t="s">
        <v>365</v>
      </c>
      <c r="B64">
        <v>61</v>
      </c>
      <c r="C64" t="s">
        <v>50</v>
      </c>
      <c r="D64" t="s">
        <v>365</v>
      </c>
      <c r="E64" t="s">
        <v>366</v>
      </c>
      <c r="F64">
        <v>296411</v>
      </c>
      <c r="G64" t="s">
        <v>367</v>
      </c>
    </row>
    <row r="65" spans="1:9">
      <c r="A65" t="s">
        <v>368</v>
      </c>
      <c r="B65">
        <v>62</v>
      </c>
      <c r="C65" t="s">
        <v>100</v>
      </c>
      <c r="D65" t="s">
        <v>368</v>
      </c>
      <c r="E65" t="s">
        <v>369</v>
      </c>
      <c r="F65" t="s">
        <v>102</v>
      </c>
      <c r="G65" t="s">
        <v>370</v>
      </c>
    </row>
    <row r="66" spans="1:9">
      <c r="A66" t="s">
        <v>371</v>
      </c>
      <c r="B66">
        <v>63</v>
      </c>
      <c r="C66" t="s">
        <v>159</v>
      </c>
      <c r="D66" t="s">
        <v>371</v>
      </c>
      <c r="E66" t="s">
        <v>372</v>
      </c>
      <c r="F66" t="s">
        <v>160</v>
      </c>
      <c r="G66" t="s">
        <v>161</v>
      </c>
      <c r="H66" s="1">
        <v>45490</v>
      </c>
      <c r="I66">
        <v>396624</v>
      </c>
    </row>
    <row r="67" spans="1:9" ht="21.6">
      <c r="A67" s="28" t="s">
        <v>373</v>
      </c>
      <c r="B67">
        <v>64</v>
      </c>
      <c r="C67" t="s">
        <v>89</v>
      </c>
      <c r="D67" s="28" t="s">
        <v>373</v>
      </c>
      <c r="E67" s="28" t="s">
        <v>374</v>
      </c>
      <c r="F67" s="28" t="s">
        <v>90</v>
      </c>
      <c r="G67" s="28" t="s">
        <v>91</v>
      </c>
      <c r="H67" s="26"/>
      <c r="I67" s="27">
        <v>471279</v>
      </c>
    </row>
    <row r="68" spans="1:9">
      <c r="A68" t="s">
        <v>375</v>
      </c>
      <c r="B68">
        <v>65</v>
      </c>
      <c r="C68" t="s">
        <v>65</v>
      </c>
      <c r="D68" t="s">
        <v>375</v>
      </c>
      <c r="E68" t="s">
        <v>376</v>
      </c>
      <c r="F68" t="s">
        <v>66</v>
      </c>
      <c r="G68" t="s">
        <v>377</v>
      </c>
      <c r="H68" t="s">
        <v>449</v>
      </c>
    </row>
    <row r="69" spans="1:9">
      <c r="A69" t="s">
        <v>378</v>
      </c>
      <c r="B69">
        <v>66</v>
      </c>
      <c r="C69" t="s">
        <v>51</v>
      </c>
      <c r="D69" t="s">
        <v>378</v>
      </c>
      <c r="E69" t="s">
        <v>379</v>
      </c>
      <c r="F69" t="s">
        <v>52</v>
      </c>
      <c r="G69" t="s">
        <v>380</v>
      </c>
      <c r="H69" s="1" t="s">
        <v>450</v>
      </c>
    </row>
    <row r="70" spans="1:9">
      <c r="A70" t="s">
        <v>381</v>
      </c>
      <c r="B70">
        <v>67</v>
      </c>
      <c r="C70" t="s">
        <v>141</v>
      </c>
      <c r="D70" t="s">
        <v>381</v>
      </c>
      <c r="E70" t="s">
        <v>382</v>
      </c>
      <c r="F70" t="s">
        <v>142</v>
      </c>
      <c r="G70" t="s">
        <v>383</v>
      </c>
    </row>
    <row r="71" spans="1:9">
      <c r="A71" t="s">
        <v>455</v>
      </c>
      <c r="B71">
        <v>68</v>
      </c>
      <c r="C71" t="s">
        <v>187</v>
      </c>
      <c r="D71" t="s">
        <v>495</v>
      </c>
      <c r="E71" t="s">
        <v>188</v>
      </c>
      <c r="F71" t="s">
        <v>189</v>
      </c>
      <c r="G71" t="s">
        <v>190</v>
      </c>
    </row>
    <row r="72" spans="1:9">
      <c r="A72" t="s">
        <v>192</v>
      </c>
      <c r="B72">
        <v>69</v>
      </c>
      <c r="C72" t="s">
        <v>191</v>
      </c>
      <c r="D72" t="s">
        <v>192</v>
      </c>
      <c r="E72" t="s">
        <v>193</v>
      </c>
      <c r="F72" t="s">
        <v>194</v>
      </c>
      <c r="G72" t="s">
        <v>195</v>
      </c>
      <c r="H72" t="s">
        <v>476</v>
      </c>
    </row>
    <row r="73" spans="1:9">
      <c r="A73" t="s">
        <v>456</v>
      </c>
      <c r="B73">
        <v>70</v>
      </c>
      <c r="C73" t="s">
        <v>196</v>
      </c>
      <c r="D73" t="s">
        <v>496</v>
      </c>
      <c r="E73" t="s">
        <v>197</v>
      </c>
      <c r="F73" t="s">
        <v>198</v>
      </c>
      <c r="G73" t="s">
        <v>199</v>
      </c>
      <c r="H73" t="s">
        <v>477</v>
      </c>
    </row>
    <row r="74" spans="1:9">
      <c r="A74" t="s">
        <v>457</v>
      </c>
      <c r="B74">
        <v>71</v>
      </c>
      <c r="C74" t="s">
        <v>184</v>
      </c>
      <c r="D74" t="s">
        <v>497</v>
      </c>
      <c r="E74" t="s">
        <v>185</v>
      </c>
      <c r="F74" t="s">
        <v>182</v>
      </c>
      <c r="G74" t="s">
        <v>186</v>
      </c>
      <c r="H74" s="1">
        <v>45936</v>
      </c>
    </row>
    <row r="75" spans="1:9">
      <c r="A75" t="s">
        <v>458</v>
      </c>
      <c r="B75">
        <v>72</v>
      </c>
      <c r="C75" t="s">
        <v>423</v>
      </c>
      <c r="D75" t="s">
        <v>498</v>
      </c>
      <c r="E75" t="s">
        <v>424</v>
      </c>
      <c r="F75" t="s">
        <v>425</v>
      </c>
      <c r="G75" t="s">
        <v>426</v>
      </c>
      <c r="H75" s="44">
        <v>45986</v>
      </c>
    </row>
    <row r="76" spans="1:9">
      <c r="A76" t="s">
        <v>439</v>
      </c>
      <c r="B76">
        <v>73</v>
      </c>
      <c r="C76" t="s">
        <v>438</v>
      </c>
      <c r="D76" t="s">
        <v>439</v>
      </c>
      <c r="E76" t="s">
        <v>442</v>
      </c>
      <c r="F76" t="s">
        <v>440</v>
      </c>
      <c r="G76" t="s">
        <v>441</v>
      </c>
      <c r="H76" s="44">
        <v>46086</v>
      </c>
    </row>
    <row r="77" spans="1:9">
      <c r="A77" t="s">
        <v>447</v>
      </c>
      <c r="B77">
        <v>74</v>
      </c>
      <c r="C77" t="s">
        <v>445</v>
      </c>
      <c r="D77" t="s">
        <v>447</v>
      </c>
      <c r="E77" t="s">
        <v>451</v>
      </c>
      <c r="F77" t="s">
        <v>452</v>
      </c>
      <c r="G77" t="s">
        <v>453</v>
      </c>
      <c r="H77" s="44">
        <v>46108</v>
      </c>
    </row>
    <row r="78" spans="1:9" ht="20.399999999999999">
      <c r="A78" t="s">
        <v>454</v>
      </c>
      <c r="B78">
        <v>75</v>
      </c>
      <c r="C78" t="s">
        <v>459</v>
      </c>
      <c r="D78" t="s">
        <v>454</v>
      </c>
      <c r="E78" t="s">
        <v>460</v>
      </c>
      <c r="F78" t="s">
        <v>461</v>
      </c>
      <c r="G78" t="s">
        <v>462</v>
      </c>
      <c r="H78" s="55">
        <v>46119</v>
      </c>
    </row>
    <row r="79" spans="1:9">
      <c r="A79" t="s">
        <v>479</v>
      </c>
      <c r="B79">
        <v>76</v>
      </c>
      <c r="C79" t="s">
        <v>478</v>
      </c>
      <c r="D79" t="s">
        <v>479</v>
      </c>
      <c r="E79" t="s">
        <v>480</v>
      </c>
      <c r="F79" t="s">
        <v>481</v>
      </c>
      <c r="G79" t="s">
        <v>482</v>
      </c>
      <c r="H79" s="56">
        <v>46129</v>
      </c>
    </row>
    <row r="80" spans="1:9">
      <c r="A80" t="s">
        <v>485</v>
      </c>
      <c r="B80">
        <v>77</v>
      </c>
      <c r="C80" t="s">
        <v>484</v>
      </c>
      <c r="D80" t="s">
        <v>485</v>
      </c>
      <c r="E80" t="s">
        <v>486</v>
      </c>
      <c r="F80" t="s">
        <v>487</v>
      </c>
      <c r="G80" t="s">
        <v>488</v>
      </c>
      <c r="H80" s="56">
        <v>46143</v>
      </c>
    </row>
    <row r="81" spans="2:2">
      <c r="B81">
        <v>78</v>
      </c>
    </row>
    <row r="82" spans="2:2">
      <c r="B82">
        <v>79</v>
      </c>
    </row>
    <row r="83" spans="2:2">
      <c r="B83">
        <v>80</v>
      </c>
    </row>
    <row r="84" spans="2:2">
      <c r="B84">
        <v>81</v>
      </c>
    </row>
    <row r="85" spans="2:2">
      <c r="B85">
        <v>82</v>
      </c>
    </row>
    <row r="86" spans="2:2">
      <c r="B86">
        <v>83</v>
      </c>
    </row>
    <row r="87" spans="2:2">
      <c r="B87">
        <v>84</v>
      </c>
    </row>
    <row r="88" spans="2:2">
      <c r="B88">
        <v>85</v>
      </c>
    </row>
    <row r="89" spans="2:2">
      <c r="B89">
        <v>86</v>
      </c>
    </row>
    <row r="90" spans="2:2">
      <c r="B90">
        <v>87</v>
      </c>
    </row>
    <row r="91" spans="2:2">
      <c r="B91">
        <v>88</v>
      </c>
    </row>
  </sheetData>
  <phoneticPr fontId="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2BD47-61BF-4C23-B479-EC6BEE2AF454}">
  <dimension ref="A1"/>
  <sheetViews>
    <sheetView workbookViewId="0"/>
  </sheetViews>
  <sheetFormatPr defaultRowHeight="16.8"/>
  <sheetData/>
  <phoneticPr fontId="7"/>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E616B-F2FE-480B-9840-BFA5D274A727}">
  <dimension ref="B2:AB34"/>
  <sheetViews>
    <sheetView workbookViewId="0">
      <selection activeCell="O14" sqref="O14"/>
    </sheetView>
  </sheetViews>
  <sheetFormatPr defaultRowHeight="16.8"/>
  <cols>
    <col min="2" max="2" width="10.3984375" bestFit="1" customWidth="1"/>
    <col min="6" max="6" width="17.69921875" bestFit="1" customWidth="1"/>
    <col min="13" max="13" width="28.69921875" bestFit="1" customWidth="1"/>
    <col min="17" max="17" width="9.796875" bestFit="1" customWidth="1"/>
    <col min="18" max="18" width="10" bestFit="1" customWidth="1"/>
    <col min="21" max="21" width="12.19921875" bestFit="1" customWidth="1"/>
    <col min="22" max="22" width="17.19921875" bestFit="1" customWidth="1"/>
    <col min="25" max="25" width="13.296875" bestFit="1" customWidth="1"/>
    <col min="26" max="26" width="14.5" bestFit="1" customWidth="1"/>
    <col min="27" max="27" width="13.3984375" bestFit="1" customWidth="1"/>
  </cols>
  <sheetData>
    <row r="2" spans="2:27">
      <c r="B2" t="s">
        <v>386</v>
      </c>
      <c r="D2">
        <v>5071</v>
      </c>
      <c r="F2" t="s">
        <v>391</v>
      </c>
      <c r="G2">
        <v>3312</v>
      </c>
      <c r="J2">
        <v>106224</v>
      </c>
      <c r="Q2">
        <v>15388</v>
      </c>
    </row>
    <row r="3" spans="2:27">
      <c r="B3" t="s">
        <v>386</v>
      </c>
      <c r="D3">
        <v>675</v>
      </c>
      <c r="F3" t="s">
        <v>392</v>
      </c>
      <c r="G3">
        <v>2457</v>
      </c>
      <c r="J3">
        <v>57051</v>
      </c>
      <c r="O3" t="s">
        <v>397</v>
      </c>
      <c r="P3">
        <v>143168</v>
      </c>
      <c r="Q3">
        <v>106101</v>
      </c>
      <c r="R3" t="s">
        <v>400</v>
      </c>
    </row>
    <row r="4" spans="2:27">
      <c r="B4" t="s">
        <v>387</v>
      </c>
      <c r="D4">
        <v>2305</v>
      </c>
      <c r="F4" t="s">
        <v>393</v>
      </c>
      <c r="G4">
        <v>1280</v>
      </c>
      <c r="J4">
        <v>210000</v>
      </c>
      <c r="M4">
        <v>98199</v>
      </c>
      <c r="O4" t="s">
        <v>398</v>
      </c>
      <c r="P4">
        <v>215831</v>
      </c>
      <c r="Q4">
        <v>39500</v>
      </c>
      <c r="R4" t="s">
        <v>402</v>
      </c>
    </row>
    <row r="5" spans="2:27">
      <c r="B5" t="s">
        <v>387</v>
      </c>
      <c r="D5">
        <v>2325</v>
      </c>
      <c r="L5" t="s">
        <v>395</v>
      </c>
      <c r="M5">
        <v>181013</v>
      </c>
      <c r="O5" t="s">
        <v>399</v>
      </c>
      <c r="P5">
        <v>262839</v>
      </c>
      <c r="Q5">
        <v>20000</v>
      </c>
      <c r="R5" t="s">
        <v>401</v>
      </c>
      <c r="Y5">
        <v>2200</v>
      </c>
    </row>
    <row r="6" spans="2:27">
      <c r="B6" t="s">
        <v>387</v>
      </c>
      <c r="D6">
        <v>2327</v>
      </c>
      <c r="J6">
        <f>SUM(J2:J5)</f>
        <v>373275</v>
      </c>
      <c r="L6" t="s">
        <v>396</v>
      </c>
      <c r="M6">
        <v>68291</v>
      </c>
      <c r="O6" t="s">
        <v>400</v>
      </c>
      <c r="P6">
        <v>675</v>
      </c>
      <c r="Q6">
        <v>91230</v>
      </c>
      <c r="Y6">
        <v>21</v>
      </c>
    </row>
    <row r="7" spans="2:27">
      <c r="B7" t="s">
        <v>387</v>
      </c>
      <c r="D7">
        <v>2301</v>
      </c>
      <c r="M7">
        <f>SUM(M4:M6)</f>
        <v>347503</v>
      </c>
      <c r="P7">
        <f>SUM(P3:P6)</f>
        <v>622513</v>
      </c>
      <c r="Q7">
        <f>SUM(Q2:Q6)</f>
        <v>272219</v>
      </c>
      <c r="R7" s="46">
        <f>P7-Q7</f>
        <v>350294</v>
      </c>
      <c r="Y7">
        <v>7.5</v>
      </c>
    </row>
    <row r="8" spans="2:27">
      <c r="B8" t="s">
        <v>387</v>
      </c>
      <c r="D8">
        <v>2298</v>
      </c>
      <c r="J8">
        <v>106101</v>
      </c>
      <c r="Y8">
        <f>Y5*Y6*Y7</f>
        <v>346500</v>
      </c>
    </row>
    <row r="9" spans="2:27">
      <c r="B9" t="s">
        <v>387</v>
      </c>
      <c r="D9">
        <v>4443</v>
      </c>
      <c r="J9">
        <v>15388</v>
      </c>
    </row>
    <row r="10" spans="2:27">
      <c r="B10" t="s">
        <v>388</v>
      </c>
      <c r="D10">
        <v>12862</v>
      </c>
      <c r="J10">
        <v>45000</v>
      </c>
    </row>
    <row r="11" spans="2:27">
      <c r="B11" t="s">
        <v>389</v>
      </c>
      <c r="D11">
        <v>17490</v>
      </c>
      <c r="M11" t="s">
        <v>403</v>
      </c>
      <c r="O11" s="48">
        <v>1731</v>
      </c>
      <c r="Q11" s="47" t="s">
        <v>417</v>
      </c>
      <c r="S11" s="47"/>
      <c r="T11" s="48">
        <v>1527</v>
      </c>
    </row>
    <row r="12" spans="2:27">
      <c r="B12" t="s">
        <v>390</v>
      </c>
      <c r="D12">
        <v>2246</v>
      </c>
      <c r="J12">
        <f>SUM(J8:J11)</f>
        <v>166489</v>
      </c>
      <c r="M12" t="s">
        <v>404</v>
      </c>
      <c r="O12">
        <v>904</v>
      </c>
      <c r="Q12" s="47" t="s">
        <v>418</v>
      </c>
      <c r="T12" s="48">
        <v>3312</v>
      </c>
    </row>
    <row r="13" spans="2:27">
      <c r="J13">
        <v>20000</v>
      </c>
      <c r="M13" t="s">
        <v>405</v>
      </c>
      <c r="O13" s="49">
        <v>13310</v>
      </c>
    </row>
    <row r="14" spans="2:27">
      <c r="B14" t="s">
        <v>386</v>
      </c>
      <c r="D14">
        <f>SUMIF($B$2:$B$12,B14,($D$2:$D$12))</f>
        <v>5746</v>
      </c>
      <c r="E14" cm="1">
        <f t="array" ref="E14">SUMPRODUCT(($B$2:$B$12=B14)*($D$2:$D$12))</f>
        <v>5746</v>
      </c>
      <c r="J14">
        <v>45562</v>
      </c>
      <c r="M14" t="s">
        <v>406</v>
      </c>
      <c r="O14" s="48">
        <v>3854</v>
      </c>
    </row>
    <row r="15" spans="2:27" ht="17.399999999999999" thickBot="1">
      <c r="B15" t="s">
        <v>387</v>
      </c>
      <c r="D15">
        <f>SUMIF($B$2:$B$12,B15,($D$2:$D$12))</f>
        <v>15999</v>
      </c>
      <c r="E15" cm="1">
        <f t="array" ref="E15">SUMPRODUCT(($B$2:$B$12=B15)*($D$2:$D$12))</f>
        <v>15999</v>
      </c>
      <c r="J15">
        <f>SUM(J12:J14)</f>
        <v>232051</v>
      </c>
      <c r="M15" t="s">
        <v>407</v>
      </c>
      <c r="O15">
        <v>5900</v>
      </c>
      <c r="P15" t="s">
        <v>408</v>
      </c>
      <c r="Q15">
        <v>3600</v>
      </c>
    </row>
    <row r="16" spans="2:27" ht="18" thickTop="1" thickBot="1">
      <c r="B16" t="s">
        <v>389</v>
      </c>
      <c r="D16">
        <f t="shared" ref="D16:D17" si="0">SUMIF($B$2:$B$12,B16,($D$2:$D$12))</f>
        <v>17490</v>
      </c>
      <c r="E16" cm="1">
        <f t="array" ref="E16">SUMPRODUCT(($B$2:$B$12=B16)*($D$2:$D$12))</f>
        <v>17490</v>
      </c>
      <c r="J16">
        <f>J6-J15</f>
        <v>141224</v>
      </c>
      <c r="M16" t="s">
        <v>407</v>
      </c>
      <c r="O16" s="47">
        <v>370</v>
      </c>
      <c r="Q16">
        <f>Q15*R16</f>
        <v>50400</v>
      </c>
      <c r="R16">
        <v>14</v>
      </c>
      <c r="U16" s="72">
        <v>1200000</v>
      </c>
      <c r="V16" s="70">
        <f>U16*12</f>
        <v>14400000</v>
      </c>
      <c r="Y16" t="s">
        <v>531</v>
      </c>
      <c r="Z16" t="s">
        <v>532</v>
      </c>
      <c r="AA16" t="s">
        <v>535</v>
      </c>
    </row>
    <row r="17" spans="2:28" ht="17.399999999999999" thickTop="1">
      <c r="B17" t="s">
        <v>390</v>
      </c>
      <c r="D17">
        <f t="shared" si="0"/>
        <v>2246</v>
      </c>
      <c r="E17" cm="1">
        <f t="array" ref="E17">SUMPRODUCT(($B$2:$B$12=B17)*($D$2:$D$12))</f>
        <v>2246</v>
      </c>
      <c r="M17" s="47" t="s">
        <v>409</v>
      </c>
      <c r="O17" s="48">
        <v>12232</v>
      </c>
      <c r="P17" t="s">
        <v>408</v>
      </c>
      <c r="Q17">
        <f>Q16*R17</f>
        <v>403200</v>
      </c>
      <c r="R17">
        <v>8</v>
      </c>
      <c r="U17" s="70">
        <f>U16*V17</f>
        <v>1080000</v>
      </c>
      <c r="V17">
        <v>0.9</v>
      </c>
      <c r="W17" t="s">
        <v>527</v>
      </c>
      <c r="Y17">
        <v>430000</v>
      </c>
    </row>
    <row r="18" spans="2:28">
      <c r="D18">
        <f>SUM(D14:D17)</f>
        <v>41481</v>
      </c>
      <c r="E18">
        <f>SUM(E14:E17)</f>
        <v>41481</v>
      </c>
      <c r="M18" s="47" t="s">
        <v>410</v>
      </c>
      <c r="O18">
        <v>880</v>
      </c>
      <c r="P18" t="s">
        <v>411</v>
      </c>
      <c r="Q18">
        <f>Q17*12</f>
        <v>4838400</v>
      </c>
      <c r="U18" s="70">
        <f>U17/V18</f>
        <v>51428.571428571428</v>
      </c>
      <c r="V18" s="24">
        <v>21</v>
      </c>
      <c r="Y18" s="70">
        <f>U17*12-Y17</f>
        <v>12530000</v>
      </c>
      <c r="AA18" s="70">
        <f>U17*12</f>
        <v>12960000</v>
      </c>
    </row>
    <row r="19" spans="2:28">
      <c r="M19" s="47" t="s">
        <v>415</v>
      </c>
      <c r="O19">
        <v>2189</v>
      </c>
      <c r="Q19">
        <v>4040000</v>
      </c>
      <c r="U19" s="70">
        <f>U18/V19</f>
        <v>6857.1428571428569</v>
      </c>
      <c r="V19" s="71">
        <v>7.5</v>
      </c>
      <c r="W19" t="s">
        <v>528</v>
      </c>
      <c r="X19">
        <v>7.3899999999999993E-2</v>
      </c>
      <c r="Y19" s="70">
        <f>Y18*X19</f>
        <v>925966.99999999988</v>
      </c>
      <c r="Z19" s="70">
        <v>17010</v>
      </c>
      <c r="AA19" s="70">
        <v>430000</v>
      </c>
    </row>
    <row r="20" spans="2:28">
      <c r="B20" t="s">
        <v>394</v>
      </c>
      <c r="D20" s="45">
        <v>10</v>
      </c>
      <c r="M20" s="47" t="s">
        <v>412</v>
      </c>
      <c r="Q20" s="67">
        <f>(Q18-Q19)/12</f>
        <v>66533.333333333328</v>
      </c>
      <c r="U20" s="70"/>
      <c r="W20" t="s">
        <v>529</v>
      </c>
      <c r="X20">
        <v>2.4500000000000001E-2</v>
      </c>
      <c r="Y20" s="70">
        <f>Y18*X20</f>
        <v>306985</v>
      </c>
      <c r="Z20" s="74">
        <v>12</v>
      </c>
      <c r="AA20" s="70">
        <v>981000</v>
      </c>
    </row>
    <row r="21" spans="2:28">
      <c r="M21" s="47" t="s">
        <v>413</v>
      </c>
      <c r="O21" s="48">
        <v>1581</v>
      </c>
      <c r="W21" t="s">
        <v>530</v>
      </c>
      <c r="X21">
        <v>2.3300000000000001E-2</v>
      </c>
      <c r="Y21" s="73">
        <f>Y18*X21</f>
        <v>291949</v>
      </c>
      <c r="AA21" s="70">
        <f>AA18-AA19-AA20-Y22-Z22</f>
        <v>9819979</v>
      </c>
    </row>
    <row r="22" spans="2:28">
      <c r="M22" s="47" t="s">
        <v>414</v>
      </c>
      <c r="O22" s="47">
        <v>385</v>
      </c>
      <c r="Y22" s="70">
        <f>SUM(Y19:Y21)</f>
        <v>1524901</v>
      </c>
      <c r="Z22" s="70">
        <f>Z19*Z20</f>
        <v>204120</v>
      </c>
      <c r="AA22" s="70">
        <f>AA21*AB22</f>
        <v>981997.9</v>
      </c>
      <c r="AB22" s="75">
        <v>0.1</v>
      </c>
    </row>
    <row r="23" spans="2:28">
      <c r="M23" s="47" t="s">
        <v>416</v>
      </c>
      <c r="O23" s="48">
        <v>1397</v>
      </c>
      <c r="V23" t="s">
        <v>537</v>
      </c>
    </row>
    <row r="24" spans="2:28">
      <c r="M24" s="47" t="s">
        <v>417</v>
      </c>
      <c r="O24" s="48">
        <v>1527</v>
      </c>
      <c r="P24" s="48"/>
      <c r="Y24" t="s">
        <v>533</v>
      </c>
      <c r="Z24" s="76">
        <f>SUM(Y22:AA22)</f>
        <v>2711018.9</v>
      </c>
      <c r="AA24" t="s">
        <v>536</v>
      </c>
    </row>
    <row r="25" spans="2:28">
      <c r="M25" s="47" t="s">
        <v>418</v>
      </c>
      <c r="O25" s="48">
        <v>3312</v>
      </c>
      <c r="P25" s="48"/>
      <c r="Y25" t="s">
        <v>534</v>
      </c>
      <c r="Z25" s="70">
        <f>Y18-Z24</f>
        <v>9818981.0999999996</v>
      </c>
      <c r="AA25" s="70">
        <f>Z25/12</f>
        <v>818248.42499999993</v>
      </c>
    </row>
    <row r="26" spans="2:28">
      <c r="M26" s="47" t="s">
        <v>422</v>
      </c>
      <c r="O26" s="48">
        <v>2180</v>
      </c>
    </row>
    <row r="27" spans="2:28">
      <c r="M27" s="47" t="s">
        <v>435</v>
      </c>
      <c r="O27" s="48">
        <v>84962</v>
      </c>
    </row>
    <row r="28" spans="2:28">
      <c r="O28" s="48"/>
    </row>
    <row r="29" spans="2:28">
      <c r="O29" s="48"/>
    </row>
    <row r="30" spans="2:28">
      <c r="O30" s="49"/>
    </row>
    <row r="32" spans="2:28">
      <c r="O32">
        <f>P7-J2-J3-J4</f>
        <v>249238</v>
      </c>
    </row>
    <row r="33" spans="15:16">
      <c r="O33" s="49"/>
    </row>
    <row r="34" spans="15:16">
      <c r="P34" s="49"/>
    </row>
  </sheetData>
  <phoneticPr fontId="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DB20B-3F5F-43B1-B484-2BD57DFE233D}">
  <sheetPr>
    <pageSetUpPr fitToPage="1"/>
  </sheetPr>
  <dimension ref="B2:K46"/>
  <sheetViews>
    <sheetView workbookViewId="0">
      <selection activeCell="B20" sqref="B20"/>
    </sheetView>
  </sheetViews>
  <sheetFormatPr defaultRowHeight="18"/>
  <cols>
    <col min="1" max="1" width="8.796875" style="57"/>
    <col min="2" max="2" width="12.19921875" style="57" bestFit="1" customWidth="1"/>
    <col min="3" max="16384" width="8.796875" style="57"/>
  </cols>
  <sheetData>
    <row r="2" spans="2:10">
      <c r="B2" s="63" t="str">
        <f>貼付!C10</f>
        <v>稲井　佳暢 様</v>
      </c>
    </row>
    <row r="3" spans="2:10">
      <c r="B3" s="63"/>
    </row>
    <row r="4" spans="2:10">
      <c r="B4" s="64" t="s">
        <v>12</v>
      </c>
    </row>
    <row r="5" spans="2:10">
      <c r="B5" s="64" t="s">
        <v>510</v>
      </c>
    </row>
    <row r="6" spans="2:10">
      <c r="B6" s="68" t="s">
        <v>522</v>
      </c>
    </row>
    <row r="7" spans="2:10">
      <c r="B7" s="58"/>
    </row>
    <row r="8" spans="2:10">
      <c r="B8" s="69" t="s">
        <v>523</v>
      </c>
    </row>
    <row r="9" spans="2:10">
      <c r="B9" s="59"/>
    </row>
    <row r="10" spans="2:10">
      <c r="B10" s="58" t="str">
        <f ca="1">"   受取開始日"&amp;"本日"&amp;貼付!C11&amp;"年"&amp;貼付!D11&amp;"月"&amp;貼付!E11&amp;"日（"&amp;貼付!G11&amp;"）受取可能です。(都合の良い時システム室で受取)"</f>
        <v xml:space="preserve">   受取開始日本日2026年7月21日（火）受取可能です。(都合の良い時システム室で受取)</v>
      </c>
    </row>
    <row r="11" spans="2:10">
      <c r="B11" s="59"/>
    </row>
    <row r="12" spans="2:10">
      <c r="B12" s="60" t="s">
        <v>518</v>
      </c>
      <c r="J12" s="51" t="s">
        <v>519</v>
      </c>
    </row>
    <row r="13" spans="2:10">
      <c r="B13" s="59"/>
    </row>
    <row r="14" spans="2:10">
      <c r="B14" s="51" t="s">
        <v>508</v>
      </c>
      <c r="E14" s="64" t="s">
        <v>509</v>
      </c>
    </row>
    <row r="15" spans="2:10">
      <c r="B15" s="59"/>
    </row>
    <row r="16" spans="2:10">
      <c r="B16" s="59"/>
    </row>
    <row r="17" spans="2:11">
      <c r="B17" s="59"/>
    </row>
    <row r="18" spans="2:11">
      <c r="B18" s="79" t="s">
        <v>548</v>
      </c>
    </row>
    <row r="19" spans="2:11">
      <c r="B19" s="59"/>
    </row>
    <row r="20" spans="2:11">
      <c r="B20" s="60" t="s">
        <v>524</v>
      </c>
      <c r="I20" s="51" t="s">
        <v>520</v>
      </c>
      <c r="J20" s="51" t="s">
        <v>525</v>
      </c>
    </row>
    <row r="21" spans="2:11">
      <c r="B21" s="60"/>
      <c r="I21" s="51"/>
      <c r="J21" s="51"/>
      <c r="K21" s="51"/>
    </row>
    <row r="22" spans="2:11">
      <c r="B22" s="79" t="s">
        <v>547</v>
      </c>
      <c r="I22" s="51"/>
      <c r="J22" s="51"/>
      <c r="K22" s="51"/>
    </row>
    <row r="23" spans="2:11">
      <c r="B23" s="60"/>
      <c r="I23" s="51" t="s">
        <v>521</v>
      </c>
      <c r="J23" s="51"/>
      <c r="K23" s="51"/>
    </row>
    <row r="24" spans="2:11">
      <c r="B24" s="60"/>
      <c r="I24" s="51"/>
      <c r="J24" s="51"/>
      <c r="K24" s="51"/>
    </row>
    <row r="25" spans="2:11">
      <c r="B25" s="60"/>
      <c r="I25" s="51"/>
      <c r="J25" s="51"/>
      <c r="K25" s="51"/>
    </row>
    <row r="26" spans="2:11">
      <c r="B26" s="60"/>
      <c r="I26" s="51"/>
      <c r="J26" s="51"/>
      <c r="K26" s="51"/>
    </row>
    <row r="27" spans="2:11">
      <c r="B27" s="60"/>
      <c r="I27" s="51"/>
      <c r="J27" s="51"/>
      <c r="K27" s="51"/>
    </row>
    <row r="28" spans="2:11">
      <c r="B28" s="65" t="s">
        <v>515</v>
      </c>
    </row>
    <row r="29" spans="2:11">
      <c r="B29" s="59"/>
    </row>
    <row r="30" spans="2:11">
      <c r="B30" s="60" t="str">
        <f>"回収対象機： "&amp;貼付!G13</f>
        <v>回収対象機： OK04-A1-PC0</v>
      </c>
    </row>
    <row r="31" spans="2:11">
      <c r="B31" s="59"/>
    </row>
    <row r="32" spans="2:11">
      <c r="B32" s="60" t="str">
        <f ca="1">"回収期限： "&amp;貼付!C12&amp;"年"&amp;貼付!D12&amp;"月"&amp;貼付!E11&amp;"日("&amp;貼付!G12&amp;")"</f>
        <v>回収期限： 2026年8月21日(火)</v>
      </c>
    </row>
    <row r="33" spans="2:2">
      <c r="B33" s="59"/>
    </row>
    <row r="34" spans="2:2">
      <c r="B34" s="60" t="s">
        <v>500</v>
      </c>
    </row>
    <row r="35" spans="2:2">
      <c r="B35" s="59"/>
    </row>
    <row r="36" spans="2:2">
      <c r="B36" s="60" t="s">
        <v>501</v>
      </c>
    </row>
    <row r="37" spans="2:2">
      <c r="B37" s="62"/>
    </row>
    <row r="38" spans="2:2">
      <c r="B38" s="62" t="s">
        <v>502</v>
      </c>
    </row>
    <row r="39" spans="2:2">
      <c r="B39" s="62" t="s">
        <v>503</v>
      </c>
    </row>
    <row r="40" spans="2:2">
      <c r="B40" s="62" t="s">
        <v>504</v>
      </c>
    </row>
    <row r="41" spans="2:2">
      <c r="B41" s="58"/>
    </row>
    <row r="42" spans="2:2">
      <c r="B42" s="65" t="s">
        <v>516</v>
      </c>
    </row>
    <row r="43" spans="2:2">
      <c r="B43" s="58" t="s">
        <v>517</v>
      </c>
    </row>
    <row r="44" spans="2:2">
      <c r="B44" s="58" t="s">
        <v>505</v>
      </c>
    </row>
    <row r="45" spans="2:2">
      <c r="B45" s="58"/>
    </row>
    <row r="46" spans="2:2" ht="39">
      <c r="B46" s="61"/>
    </row>
  </sheetData>
  <phoneticPr fontId="7"/>
  <hyperlinks>
    <hyperlink ref="B14" r:id="rId1" display="初期設定：DMS手順" xr:uid="{E1D4BB11-159E-4A17-B89F-5161B0A07885}"/>
    <hyperlink ref="J12" r:id="rId2" xr:uid="{7BC2BD53-8707-425F-BBB5-87795CC50391}"/>
    <hyperlink ref="I20" r:id="rId3" xr:uid="{B5DD03D9-9D2D-4B4A-B48B-9AE1715DB24C}"/>
    <hyperlink ref="I23" r:id="rId4" xr:uid="{9E801939-AC70-442B-8EDA-061FF403CA19}"/>
    <hyperlink ref="J20" r:id="rId5" xr:uid="{C59B0F9E-FD2C-4898-A797-F36341A1261A}"/>
  </hyperlinks>
  <pageMargins left="0.7" right="0.7" top="0.75" bottom="0.75" header="0.3" footer="0.3"/>
  <pageSetup paperSize="9" scale="69" fitToHeight="0"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1AD55-41AA-4104-83AE-1B334C729D10}">
  <dimension ref="B1:B99"/>
  <sheetViews>
    <sheetView topLeftCell="A84" workbookViewId="0">
      <selection activeCell="K104" sqref="K104"/>
    </sheetView>
  </sheetViews>
  <sheetFormatPr defaultRowHeight="16.8"/>
  <cols>
    <col min="2" max="2" width="12.19921875" style="77" customWidth="1"/>
  </cols>
  <sheetData>
    <row r="1" spans="2:2">
      <c r="B1" s="77" t="s">
        <v>577</v>
      </c>
    </row>
    <row r="3" spans="2:2">
      <c r="B3" s="78" t="str">
        <f>貼付!C10&amp;"　様"</f>
        <v>稲井　佳暢 様　様</v>
      </c>
    </row>
    <row r="4" spans="2:2">
      <c r="B4" s="78"/>
    </row>
    <row r="5" spans="2:2">
      <c r="B5" s="78" t="s">
        <v>546</v>
      </c>
    </row>
    <row r="6" spans="2:2">
      <c r="B6" s="78" t="s">
        <v>578</v>
      </c>
    </row>
    <row r="7" spans="2:2">
      <c r="B7" s="78" t="s">
        <v>579</v>
      </c>
    </row>
    <row r="8" spans="2:2">
      <c r="B8" s="78"/>
    </row>
    <row r="9" spans="2:2">
      <c r="B9" s="78" t="s">
        <v>601</v>
      </c>
    </row>
    <row r="10" spans="2:2">
      <c r="B10" s="78" t="s">
        <v>580</v>
      </c>
    </row>
    <row r="11" spans="2:2">
      <c r="B11" s="78" t="s">
        <v>581</v>
      </c>
    </row>
    <row r="12" spans="2:2">
      <c r="B12" s="78" t="s">
        <v>582</v>
      </c>
    </row>
    <row r="13" spans="2:2">
      <c r="B13" s="78"/>
    </row>
    <row r="14" spans="2:2">
      <c r="B14" s="78" t="s">
        <v>549</v>
      </c>
    </row>
    <row r="15" spans="2:2">
      <c r="B15" s="78"/>
    </row>
    <row r="16" spans="2:2">
      <c r="B16" s="78" t="s">
        <v>603</v>
      </c>
    </row>
    <row r="17" spans="2:2">
      <c r="B17" s="78" t="s">
        <v>545</v>
      </c>
    </row>
    <row r="18" spans="2:2">
      <c r="B18" s="78" t="s">
        <v>550</v>
      </c>
    </row>
    <row r="19" spans="2:2">
      <c r="B19" s="78" t="s">
        <v>545</v>
      </c>
    </row>
    <row r="20" spans="2:2">
      <c r="B20" s="78" t="s">
        <v>551</v>
      </c>
    </row>
    <row r="21" spans="2:2">
      <c r="B21" s="78"/>
    </row>
    <row r="22" spans="2:2">
      <c r="B22" s="78"/>
    </row>
    <row r="23" spans="2:2">
      <c r="B23" s="78" t="s">
        <v>543</v>
      </c>
    </row>
    <row r="24" spans="2:2">
      <c r="B24" s="78" t="s">
        <v>602</v>
      </c>
    </row>
    <row r="25" spans="2:2">
      <c r="B25" s="78" t="s">
        <v>543</v>
      </c>
    </row>
    <row r="26" spans="2:2">
      <c r="B26" s="78" t="s">
        <v>552</v>
      </c>
    </row>
    <row r="27" spans="2:2">
      <c r="B27" s="78" t="s">
        <v>583</v>
      </c>
    </row>
    <row r="28" spans="2:2">
      <c r="B28" s="78" t="s">
        <v>593</v>
      </c>
    </row>
    <row r="29" spans="2:2">
      <c r="B29" s="78" t="s">
        <v>584</v>
      </c>
    </row>
    <row r="30" spans="2:2">
      <c r="B30" s="78" t="s">
        <v>585</v>
      </c>
    </row>
    <row r="31" spans="2:2">
      <c r="B31" s="78"/>
    </row>
    <row r="32" spans="2:2">
      <c r="B32" s="78" t="s">
        <v>543</v>
      </c>
    </row>
    <row r="33" spans="2:2">
      <c r="B33" s="78" t="s">
        <v>553</v>
      </c>
    </row>
    <row r="34" spans="2:2">
      <c r="B34" s="78" t="s">
        <v>543</v>
      </c>
    </row>
    <row r="35" spans="2:2">
      <c r="B35" s="78" t="s">
        <v>554</v>
      </c>
    </row>
    <row r="36" spans="2:2">
      <c r="B36" s="78" t="s">
        <v>586</v>
      </c>
    </row>
    <row r="37" spans="2:2">
      <c r="B37" s="78"/>
    </row>
    <row r="38" spans="2:2">
      <c r="B38" s="78" t="s">
        <v>587</v>
      </c>
    </row>
    <row r="39" spans="2:2">
      <c r="B39" s="78" t="s">
        <v>588</v>
      </c>
    </row>
    <row r="40" spans="2:2">
      <c r="B40" s="78"/>
    </row>
    <row r="41" spans="2:2">
      <c r="B41" s="78" t="s">
        <v>555</v>
      </c>
    </row>
    <row r="42" spans="2:2">
      <c r="B42" s="78" t="s">
        <v>589</v>
      </c>
    </row>
    <row r="43" spans="2:2">
      <c r="B43" s="78"/>
    </row>
    <row r="44" spans="2:2">
      <c r="B44" s="78" t="s">
        <v>590</v>
      </c>
    </row>
    <row r="45" spans="2:2">
      <c r="B45" s="78" t="s">
        <v>591</v>
      </c>
    </row>
    <row r="46" spans="2:2">
      <c r="B46" s="78" t="s">
        <v>592</v>
      </c>
    </row>
    <row r="47" spans="2:2">
      <c r="B47" s="78"/>
    </row>
    <row r="48" spans="2:2">
      <c r="B48" s="78" t="s">
        <v>556</v>
      </c>
    </row>
    <row r="49" spans="2:2">
      <c r="B49" s="78" t="s">
        <v>594</v>
      </c>
    </row>
    <row r="50" spans="2:2">
      <c r="B50" s="78"/>
    </row>
    <row r="51" spans="2:2">
      <c r="B51" s="78" t="s">
        <v>557</v>
      </c>
    </row>
    <row r="52" spans="2:2">
      <c r="B52" s="78" t="s">
        <v>595</v>
      </c>
    </row>
    <row r="53" spans="2:2">
      <c r="B53" s="78"/>
    </row>
    <row r="54" spans="2:2">
      <c r="B54" s="78" t="s">
        <v>558</v>
      </c>
    </row>
    <row r="55" spans="2:2">
      <c r="B55" s="78" t="s">
        <v>559</v>
      </c>
    </row>
    <row r="56" spans="2:2">
      <c r="B56" s="78"/>
    </row>
    <row r="57" spans="2:2">
      <c r="B57" s="78" t="s">
        <v>596</v>
      </c>
    </row>
    <row r="58" spans="2:2">
      <c r="B58" s="78" t="s">
        <v>597</v>
      </c>
    </row>
    <row r="60" spans="2:2">
      <c r="B60" s="77" t="s">
        <v>563</v>
      </c>
    </row>
    <row r="61" spans="2:2">
      <c r="B61" s="77" t="s">
        <v>564</v>
      </c>
    </row>
    <row r="62" spans="2:2">
      <c r="B62" s="77" t="s">
        <v>598</v>
      </c>
    </row>
    <row r="64" spans="2:2">
      <c r="B64" s="77" t="s">
        <v>560</v>
      </c>
    </row>
    <row r="65" spans="2:2">
      <c r="B65" s="77" t="s">
        <v>561</v>
      </c>
    </row>
    <row r="66" spans="2:2">
      <c r="B66" s="77" t="s">
        <v>562</v>
      </c>
    </row>
    <row r="69" spans="2:2">
      <c r="B69" s="77" t="s">
        <v>565</v>
      </c>
    </row>
    <row r="70" spans="2:2">
      <c r="B70" s="77" t="s">
        <v>566</v>
      </c>
    </row>
    <row r="71" spans="2:2">
      <c r="B71" s="77" t="s">
        <v>599</v>
      </c>
    </row>
    <row r="72" spans="2:2">
      <c r="B72" s="77" t="s">
        <v>567</v>
      </c>
    </row>
    <row r="74" spans="2:2">
      <c r="B74" s="77" t="s">
        <v>543</v>
      </c>
    </row>
    <row r="75" spans="2:2">
      <c r="B75" s="77" t="s">
        <v>608</v>
      </c>
    </row>
    <row r="76" spans="2:2">
      <c r="B76" s="77" t="s">
        <v>543</v>
      </c>
    </row>
    <row r="77" spans="2:2">
      <c r="B77" s="78" t="s">
        <v>607</v>
      </c>
    </row>
    <row r="78" spans="2:2">
      <c r="B78" s="78" t="s">
        <v>604</v>
      </c>
    </row>
    <row r="79" spans="2:2">
      <c r="B79" s="78" t="s">
        <v>605</v>
      </c>
    </row>
    <row r="80" spans="2:2">
      <c r="B80" s="78" t="s">
        <v>606</v>
      </c>
    </row>
    <row r="81" spans="2:2">
      <c r="B81" s="78"/>
    </row>
    <row r="82" spans="2:2">
      <c r="B82" s="77" t="s">
        <v>543</v>
      </c>
    </row>
    <row r="83" spans="2:2">
      <c r="B83" s="77" t="s">
        <v>609</v>
      </c>
    </row>
    <row r="84" spans="2:2">
      <c r="B84" s="77" t="s">
        <v>543</v>
      </c>
    </row>
    <row r="85" spans="2:2">
      <c r="B85" s="77" t="s">
        <v>568</v>
      </c>
    </row>
    <row r="86" spans="2:2">
      <c r="B86" s="77" t="s">
        <v>569</v>
      </c>
    </row>
    <row r="87" spans="2:2">
      <c r="B87" s="77" t="s">
        <v>570</v>
      </c>
    </row>
    <row r="88" spans="2:2">
      <c r="B88" s="77" t="s">
        <v>571</v>
      </c>
    </row>
    <row r="89" spans="2:2">
      <c r="B89" s="77" t="s">
        <v>572</v>
      </c>
    </row>
    <row r="90" spans="2:2">
      <c r="B90" s="77" t="s">
        <v>573</v>
      </c>
    </row>
    <row r="91" spans="2:2">
      <c r="B91" s="77" t="s">
        <v>574</v>
      </c>
    </row>
    <row r="93" spans="2:2">
      <c r="B93" s="77" t="s">
        <v>543</v>
      </c>
    </row>
    <row r="94" spans="2:2">
      <c r="B94" s="77" t="s">
        <v>544</v>
      </c>
    </row>
    <row r="95" spans="2:2">
      <c r="B95" s="77" t="s">
        <v>543</v>
      </c>
    </row>
    <row r="96" spans="2:2">
      <c r="B96" s="77" t="s">
        <v>575</v>
      </c>
    </row>
    <row r="97" spans="2:2">
      <c r="B97" s="77" t="s">
        <v>576</v>
      </c>
    </row>
    <row r="99" spans="2:2">
      <c r="B99" s="77" t="s">
        <v>505</v>
      </c>
    </row>
  </sheetData>
  <phoneticPr fontId="7"/>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02D1C-EC6B-4724-AA76-7EEEE1613129}">
  <dimension ref="B2:N90"/>
  <sheetViews>
    <sheetView tabSelected="1" topLeftCell="A72" zoomScale="115" zoomScaleNormal="115" workbookViewId="0">
      <selection activeCell="N74" sqref="N74"/>
    </sheetView>
  </sheetViews>
  <sheetFormatPr defaultRowHeight="16.8"/>
  <cols>
    <col min="2" max="2" width="3.69921875" customWidth="1"/>
  </cols>
  <sheetData>
    <row r="2" spans="2:14">
      <c r="B2" t="s">
        <v>610</v>
      </c>
      <c r="N2" t="s">
        <v>667</v>
      </c>
    </row>
    <row r="3" spans="2:14">
      <c r="B3" t="str">
        <f>MID(貼付!$C$10,1,LEN(貼付!$C$10)-1)&amp;" 様"</f>
        <v>稲井　佳暢  様</v>
      </c>
    </row>
    <row r="4" spans="2:14">
      <c r="B4" t="s">
        <v>546</v>
      </c>
      <c r="N4" t="str">
        <f>MID(貼付!$C$10,1,LEN(貼付!$C$10)-1)&amp;" 様"</f>
        <v>稲井　佳暢  様</v>
      </c>
    </row>
    <row r="5" spans="2:14">
      <c r="B5" t="s">
        <v>611</v>
      </c>
    </row>
    <row r="6" spans="2:14">
      <c r="B6" t="s">
        <v>612</v>
      </c>
      <c r="N6" t="s">
        <v>692</v>
      </c>
    </row>
    <row r="8" spans="2:14">
      <c r="B8" s="77" t="s">
        <v>543</v>
      </c>
      <c r="N8" t="s">
        <v>693</v>
      </c>
    </row>
    <row r="9" spans="2:14">
      <c r="B9" t="s">
        <v>613</v>
      </c>
      <c r="N9" t="s">
        <v>696</v>
      </c>
    </row>
    <row r="10" spans="2:14">
      <c r="B10" s="77" t="s">
        <v>543</v>
      </c>
    </row>
    <row r="11" spans="2:14">
      <c r="C11" t="s">
        <v>644</v>
      </c>
      <c r="N11" t="s">
        <v>668</v>
      </c>
    </row>
    <row r="12" spans="2:14">
      <c r="C12" t="s">
        <v>614</v>
      </c>
    </row>
    <row r="13" spans="2:14">
      <c r="C13" t="s">
        <v>615</v>
      </c>
      <c r="N13" t="s">
        <v>669</v>
      </c>
    </row>
    <row r="14" spans="2:14">
      <c r="C14" t="s">
        <v>616</v>
      </c>
      <c r="N14" t="s">
        <v>613</v>
      </c>
    </row>
    <row r="15" spans="2:14">
      <c r="C15" t="s">
        <v>617</v>
      </c>
      <c r="N15" t="s">
        <v>669</v>
      </c>
    </row>
    <row r="16" spans="2:14">
      <c r="B16" s="77"/>
      <c r="N16" t="s">
        <v>670</v>
      </c>
    </row>
    <row r="17" spans="2:14">
      <c r="B17" s="77" t="s">
        <v>543</v>
      </c>
      <c r="N17" t="s">
        <v>671</v>
      </c>
    </row>
    <row r="18" spans="2:14">
      <c r="B18" t="s">
        <v>644</v>
      </c>
      <c r="N18" t="s">
        <v>672</v>
      </c>
    </row>
    <row r="19" spans="2:14">
      <c r="B19" s="77" t="s">
        <v>543</v>
      </c>
      <c r="N19" t="s">
        <v>673</v>
      </c>
    </row>
    <row r="20" spans="2:14">
      <c r="C20" t="s">
        <v>659</v>
      </c>
      <c r="N20" t="s">
        <v>674</v>
      </c>
    </row>
    <row r="21" spans="2:14">
      <c r="C21" s="51" t="s">
        <v>664</v>
      </c>
    </row>
    <row r="22" spans="2:14">
      <c r="C22" t="s">
        <v>660</v>
      </c>
      <c r="N22" t="s">
        <v>669</v>
      </c>
    </row>
    <row r="23" spans="2:14">
      <c r="C23" t="s">
        <v>661</v>
      </c>
      <c r="N23" t="s">
        <v>675</v>
      </c>
    </row>
    <row r="24" spans="2:14">
      <c r="C24" t="s">
        <v>662</v>
      </c>
      <c r="N24" t="s">
        <v>669</v>
      </c>
    </row>
    <row r="25" spans="2:14">
      <c r="N25" t="s">
        <v>697</v>
      </c>
    </row>
    <row r="26" spans="2:14">
      <c r="B26" s="77" t="s">
        <v>543</v>
      </c>
      <c r="N26" s="51" t="s">
        <v>664</v>
      </c>
    </row>
    <row r="27" spans="2:14">
      <c r="B27" t="s">
        <v>654</v>
      </c>
      <c r="N27" t="s">
        <v>694</v>
      </c>
    </row>
    <row r="28" spans="2:14">
      <c r="B28" s="77" t="s">
        <v>543</v>
      </c>
      <c r="N28" t="s">
        <v>695</v>
      </c>
    </row>
    <row r="29" spans="2:14">
      <c r="C29" t="s">
        <v>663</v>
      </c>
    </row>
    <row r="30" spans="2:14">
      <c r="C30" t="s">
        <v>618</v>
      </c>
      <c r="N30" t="s">
        <v>669</v>
      </c>
    </row>
    <row r="31" spans="2:14">
      <c r="C31" t="s">
        <v>619</v>
      </c>
      <c r="N31" t="s">
        <v>676</v>
      </c>
    </row>
    <row r="32" spans="2:14">
      <c r="C32" t="s">
        <v>620</v>
      </c>
      <c r="N32" t="s">
        <v>669</v>
      </c>
    </row>
    <row r="33" spans="2:14">
      <c r="C33" t="s">
        <v>621</v>
      </c>
      <c r="N33" t="s">
        <v>677</v>
      </c>
    </row>
    <row r="34" spans="2:14">
      <c r="N34" t="s">
        <v>698</v>
      </c>
    </row>
    <row r="35" spans="2:14">
      <c r="B35" s="77" t="s">
        <v>543</v>
      </c>
      <c r="N35" t="s">
        <v>699</v>
      </c>
    </row>
    <row r="36" spans="2:14">
      <c r="B36" t="s">
        <v>657</v>
      </c>
      <c r="N36" t="s">
        <v>690</v>
      </c>
    </row>
    <row r="37" spans="2:14">
      <c r="B37" s="77" t="s">
        <v>543</v>
      </c>
      <c r="N37" t="s">
        <v>678</v>
      </c>
    </row>
    <row r="38" spans="2:14">
      <c r="C38" t="s">
        <v>645</v>
      </c>
    </row>
    <row r="39" spans="2:14">
      <c r="C39" t="s">
        <v>622</v>
      </c>
      <c r="N39" t="s">
        <v>669</v>
      </c>
    </row>
    <row r="40" spans="2:14">
      <c r="N40" t="s">
        <v>679</v>
      </c>
    </row>
    <row r="41" spans="2:14">
      <c r="C41" t="s">
        <v>623</v>
      </c>
      <c r="N41" t="s">
        <v>669</v>
      </c>
    </row>
    <row r="42" spans="2:14">
      <c r="C42" t="s">
        <v>646</v>
      </c>
      <c r="N42" t="s">
        <v>680</v>
      </c>
    </row>
    <row r="43" spans="2:14">
      <c r="C43" t="s">
        <v>649</v>
      </c>
    </row>
    <row r="44" spans="2:14">
      <c r="N44" t="s">
        <v>623</v>
      </c>
    </row>
    <row r="45" spans="2:14">
      <c r="C45" t="s">
        <v>647</v>
      </c>
      <c r="N45" t="s">
        <v>691</v>
      </c>
    </row>
    <row r="46" spans="2:14" ht="17.399999999999999" customHeight="1">
      <c r="C46" t="s">
        <v>648</v>
      </c>
      <c r="N46" t="s">
        <v>700</v>
      </c>
    </row>
    <row r="47" spans="2:14">
      <c r="C47" t="s">
        <v>651</v>
      </c>
      <c r="N47" t="s">
        <v>648</v>
      </c>
    </row>
    <row r="48" spans="2:14">
      <c r="N48" t="s">
        <v>681</v>
      </c>
    </row>
    <row r="49" spans="3:14">
      <c r="C49" t="s">
        <v>624</v>
      </c>
      <c r="N49" t="s">
        <v>682</v>
      </c>
    </row>
    <row r="50" spans="3:14">
      <c r="C50" t="s">
        <v>625</v>
      </c>
      <c r="N50" t="s">
        <v>683</v>
      </c>
    </row>
    <row r="51" spans="3:14">
      <c r="C51" t="s">
        <v>650</v>
      </c>
      <c r="N51" t="s">
        <v>627</v>
      </c>
    </row>
    <row r="52" spans="3:14">
      <c r="N52" t="s">
        <v>702</v>
      </c>
    </row>
    <row r="53" spans="3:14">
      <c r="C53" t="s">
        <v>626</v>
      </c>
      <c r="N53" t="s">
        <v>703</v>
      </c>
    </row>
    <row r="54" spans="3:14">
      <c r="C54" t="s">
        <v>627</v>
      </c>
      <c r="N54" t="s">
        <v>704</v>
      </c>
    </row>
    <row r="55" spans="3:14">
      <c r="N55" t="s">
        <v>684</v>
      </c>
    </row>
    <row r="56" spans="3:14">
      <c r="C56" t="s">
        <v>628</v>
      </c>
      <c r="N56" t="s">
        <v>633</v>
      </c>
    </row>
    <row r="57" spans="3:14">
      <c r="C57" t="s">
        <v>684</v>
      </c>
      <c r="N57" t="s">
        <v>701</v>
      </c>
    </row>
    <row r="59" spans="3:14">
      <c r="N59" t="s">
        <v>669</v>
      </c>
    </row>
    <row r="60" spans="3:14">
      <c r="C60" t="s">
        <v>629</v>
      </c>
      <c r="N60" t="s">
        <v>685</v>
      </c>
    </row>
    <row r="61" spans="3:14">
      <c r="C61" t="s">
        <v>665</v>
      </c>
      <c r="N61" t="s">
        <v>669</v>
      </c>
    </row>
    <row r="62" spans="3:14">
      <c r="N62" t="s">
        <v>686</v>
      </c>
    </row>
    <row r="63" spans="3:14">
      <c r="C63" t="s">
        <v>630</v>
      </c>
      <c r="N63" t="str">
        <f ca="1">"【返却期限】："&amp;貼付!D12&amp;"月"&amp;貼付!E12&amp;"日"</f>
        <v>【返却期限】：8月4日</v>
      </c>
    </row>
    <row r="64" spans="3:14">
      <c r="C64" t="s">
        <v>631</v>
      </c>
      <c r="N64" t="s">
        <v>705</v>
      </c>
    </row>
    <row r="65" spans="2:14">
      <c r="C65" t="s">
        <v>632</v>
      </c>
    </row>
    <row r="66" spans="2:14">
      <c r="N66" t="s">
        <v>687</v>
      </c>
    </row>
    <row r="67" spans="2:14">
      <c r="C67" t="s">
        <v>633</v>
      </c>
      <c r="N67" t="s">
        <v>706</v>
      </c>
    </row>
    <row r="68" spans="2:14">
      <c r="C68" t="s">
        <v>666</v>
      </c>
      <c r="N68" t="s">
        <v>707</v>
      </c>
    </row>
    <row r="69" spans="2:14">
      <c r="C69" t="s">
        <v>634</v>
      </c>
    </row>
    <row r="70" spans="2:14">
      <c r="N70" t="s">
        <v>669</v>
      </c>
    </row>
    <row r="71" spans="2:14">
      <c r="C71" t="s">
        <v>565</v>
      </c>
      <c r="N71" t="s">
        <v>688</v>
      </c>
    </row>
    <row r="72" spans="2:14">
      <c r="C72" t="s">
        <v>635</v>
      </c>
      <c r="N72" t="s">
        <v>669</v>
      </c>
    </row>
    <row r="73" spans="2:14">
      <c r="C73" t="s">
        <v>636</v>
      </c>
      <c r="N73" t="s">
        <v>689</v>
      </c>
    </row>
    <row r="75" spans="2:14">
      <c r="B75" s="77" t="s">
        <v>543</v>
      </c>
    </row>
    <row r="76" spans="2:14">
      <c r="B76" t="s">
        <v>658</v>
      </c>
    </row>
    <row r="77" spans="2:14">
      <c r="B77" s="77" t="s">
        <v>543</v>
      </c>
    </row>
    <row r="78" spans="2:14">
      <c r="C78" t="s">
        <v>637</v>
      </c>
    </row>
    <row r="79" spans="2:14">
      <c r="C79" t="s">
        <v>655</v>
      </c>
    </row>
    <row r="80" spans="2:14">
      <c r="C80" t="s">
        <v>652</v>
      </c>
    </row>
    <row r="81" spans="3:3">
      <c r="C81" t="s">
        <v>638</v>
      </c>
    </row>
    <row r="83" spans="3:3">
      <c r="C83" t="s">
        <v>639</v>
      </c>
    </row>
    <row r="84" spans="3:3">
      <c r="C84" t="s">
        <v>653</v>
      </c>
    </row>
    <row r="85" spans="3:3">
      <c r="C85" t="s">
        <v>640</v>
      </c>
    </row>
    <row r="86" spans="3:3">
      <c r="C86" t="s">
        <v>641</v>
      </c>
    </row>
    <row r="88" spans="3:3">
      <c r="C88" t="s">
        <v>656</v>
      </c>
    </row>
    <row r="89" spans="3:3">
      <c r="C89" t="s">
        <v>642</v>
      </c>
    </row>
    <row r="90" spans="3:3">
      <c r="C90" t="s">
        <v>643</v>
      </c>
    </row>
  </sheetData>
  <phoneticPr fontId="7"/>
  <hyperlinks>
    <hyperlink ref="C21" r:id="rId1" location="cmd=docrefer&amp;id=32692&amp;folder=1057" xr:uid="{FEE7932C-85C6-4DF2-A9F6-0578ACAA059B}"/>
    <hyperlink ref="N26" r:id="rId2" location="cmd=docrefer&amp;id=32692&amp;folder=1057" xr:uid="{581CA05C-914C-41D3-BD26-9691F32BAC8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貼付</vt:lpstr>
      <vt:lpstr>Sheet1</vt:lpstr>
      <vt:lpstr>社員名</vt:lpstr>
      <vt:lpstr>Sheet3</vt:lpstr>
      <vt:lpstr>Sheet4</vt:lpstr>
      <vt:lpstr>Sheet1 (2)</vt:lpstr>
      <vt:lpstr>PC受渡し案内(ロードマップ)</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kiyonoe</dc:creator>
  <cp:keywords/>
  <dc:description/>
  <cp:lastModifiedBy>MAE前田 卓大</cp:lastModifiedBy>
  <cp:revision/>
  <cp:lastPrinted>2026-06-17T05:49:21Z</cp:lastPrinted>
  <dcterms:created xsi:type="dcterms:W3CDTF">2023-12-05T23:22:45Z</dcterms:created>
  <dcterms:modified xsi:type="dcterms:W3CDTF">2026-07-21T08:02:59Z</dcterms:modified>
  <cp:category/>
  <cp:contentStatus/>
</cp:coreProperties>
</file>