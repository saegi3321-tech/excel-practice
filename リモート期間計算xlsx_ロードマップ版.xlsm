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8_{75D39BB3-E7A3-46EA-B9B9-E1623AA58A57}" xr6:coauthVersionLast="47" xr6:coauthVersionMax="47" xr10:uidLastSave="{00000000-0000-0000-0000-000000000000}"/>
  <bookViews>
    <workbookView xWindow="-108" yWindow="-108" windowWidth="23256" windowHeight="12456" activeTab="6" xr2:uid="{00000000-000D-0000-FFFF-FFFF00000000}"/>
  </bookViews>
  <sheets>
    <sheet name="貼付" sheetId="1" r:id="rId1"/>
    <sheet name="Sheet1" sheetId="2" r:id="rId2"/>
    <sheet name="社員名" sheetId="3" r:id="rId3"/>
    <sheet name="Sheet3" sheetId="4" r:id="rId4"/>
    <sheet name="Sheet4" sheetId="5" r:id="rId5"/>
    <sheet name="Sheet1 (2)" sheetId="6" r:id="rId6"/>
    <sheet name="PC受渡し案内(ロードマップ)" sheetId="7" r:id="rId7"/>
  </sheets>
  <definedNames>
    <definedName name="_xleta.SUM" hidden="1" xlm="1">#NAME?</definedName>
    <definedName name="_xleta.TEXT" hidden="1" xlm="1">#NAME?</definedName>
    <definedName name="_xleta.TODA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2" i="5" l="1"/>
  <c r="AA18" i="5"/>
  <c r="Y18" i="5"/>
  <c r="Y20" i="5" s="1"/>
  <c r="U18" i="5"/>
  <c r="U19" i="5" s="1"/>
  <c r="U17" i="5"/>
  <c r="Q17" i="5"/>
  <c r="Q18" i="5" s="1"/>
  <c r="Q20" i="5" s="1"/>
  <c r="E17" i="5" a="1"/>
  <c r="E17" i="5"/>
  <c r="D17" i="5"/>
  <c r="V16" i="5"/>
  <c r="Q16" i="5"/>
  <c r="E16" i="5" a="1"/>
  <c r="E16" i="5" s="1"/>
  <c r="D16" i="5"/>
  <c r="E15" i="5" a="1"/>
  <c r="E15" i="5"/>
  <c r="D15" i="5"/>
  <c r="E14" i="5" a="1"/>
  <c r="E14" i="5" s="1"/>
  <c r="D14" i="5"/>
  <c r="D18" i="5" s="1"/>
  <c r="J12" i="5"/>
  <c r="J15" i="5" s="1"/>
  <c r="J16" i="5" s="1"/>
  <c r="Y8" i="5"/>
  <c r="R7" i="5"/>
  <c r="Q7" i="5"/>
  <c r="P7" i="5"/>
  <c r="O32" i="5" s="1"/>
  <c r="M7" i="5"/>
  <c r="J6" i="5"/>
  <c r="A66" i="2"/>
  <c r="A62" i="2"/>
  <c r="H61" i="2"/>
  <c r="G61" i="2"/>
  <c r="F61" i="2"/>
  <c r="A45" i="2"/>
  <c r="D35" i="2"/>
  <c r="D33" i="2"/>
  <c r="E25" i="2"/>
  <c r="D30" i="2" s="1"/>
  <c r="P24" i="2"/>
  <c r="G23" i="2" s="1"/>
  <c r="K24" i="2"/>
  <c r="J24" i="2"/>
  <c r="H24" i="2"/>
  <c r="F24" i="2"/>
  <c r="D24" i="2" s="1"/>
  <c r="P23" i="2"/>
  <c r="G22" i="2" s="1"/>
  <c r="K23" i="2"/>
  <c r="J23" i="2"/>
  <c r="I23" i="2"/>
  <c r="H23" i="2"/>
  <c r="F23" i="2"/>
  <c r="D23" i="2"/>
  <c r="P22" i="2"/>
  <c r="K22" i="2"/>
  <c r="J22" i="2"/>
  <c r="I22" i="2"/>
  <c r="H22" i="2"/>
  <c r="F22" i="2"/>
  <c r="D22" i="2"/>
  <c r="A22" i="2"/>
  <c r="R21" i="2"/>
  <c r="P21" i="2" s="1"/>
  <c r="G24" i="2" s="1"/>
  <c r="K21" i="2"/>
  <c r="J21" i="2"/>
  <c r="I21" i="2"/>
  <c r="H21" i="2"/>
  <c r="G21" i="2"/>
  <c r="F21" i="2"/>
  <c r="D21" i="2" s="1"/>
  <c r="P20" i="2"/>
  <c r="G20" i="2" s="1"/>
  <c r="K20" i="2"/>
  <c r="J20" i="2"/>
  <c r="I20" i="2"/>
  <c r="H20" i="2"/>
  <c r="F20" i="2"/>
  <c r="D20" i="2"/>
  <c r="A11" i="2" s="1"/>
  <c r="N18" i="2"/>
  <c r="J18" i="2"/>
  <c r="C13" i="2"/>
  <c r="E24" i="2" s="1"/>
  <c r="C12" i="2"/>
  <c r="E23" i="2" s="1"/>
  <c r="B12" i="2"/>
  <c r="C11" i="2"/>
  <c r="E22" i="2" s="1"/>
  <c r="R10" i="2"/>
  <c r="C10" i="2"/>
  <c r="E21" i="2" s="1"/>
  <c r="R9" i="2"/>
  <c r="C9" i="2"/>
  <c r="E20" i="2" s="1"/>
  <c r="R8" i="2"/>
  <c r="D8" i="2"/>
  <c r="B8" i="2"/>
  <c r="B4" i="2"/>
  <c r="C5" i="2" s="1"/>
  <c r="M3" i="2"/>
  <c r="L3" i="2"/>
  <c r="K3" i="2"/>
  <c r="B2" i="2"/>
  <c r="H2" i="2" s="1"/>
  <c r="G13" i="1"/>
  <c r="B26" i="6" s="1"/>
  <c r="E12" i="1"/>
  <c r="D12" i="1"/>
  <c r="C12" i="1"/>
  <c r="G12" i="1" s="1"/>
  <c r="E11" i="1"/>
  <c r="D11" i="1"/>
  <c r="C11" i="1"/>
  <c r="C10" i="1"/>
  <c r="B2" i="6" s="1"/>
  <c r="J8" i="1"/>
  <c r="I8" i="1"/>
  <c r="H8" i="1"/>
  <c r="J7" i="1"/>
  <c r="I7" i="1"/>
  <c r="H7" i="1"/>
  <c r="D7" i="1"/>
  <c r="C7" i="1"/>
  <c r="B7" i="1"/>
  <c r="J6" i="1"/>
  <c r="I6" i="1"/>
  <c r="H6" i="1"/>
  <c r="D6" i="1"/>
  <c r="C6" i="1"/>
  <c r="B6" i="1"/>
  <c r="B3" i="2" l="1"/>
  <c r="E3" i="2" s="1"/>
  <c r="C2" i="2"/>
  <c r="D2" i="2"/>
  <c r="E2" i="2"/>
  <c r="F2" i="2"/>
  <c r="G11" i="1"/>
  <c r="B10" i="6" s="1"/>
  <c r="I2" i="2"/>
  <c r="J2" i="2"/>
  <c r="G3" i="2"/>
  <c r="J3" i="2"/>
  <c r="I3" i="2"/>
  <c r="F3" i="2"/>
  <c r="E18" i="5"/>
  <c r="D26" i="2"/>
  <c r="D36" i="2" s="1"/>
  <c r="A24" i="2" s="1"/>
  <c r="Y21" i="5"/>
  <c r="B28" i="6"/>
  <c r="I24" i="2"/>
  <c r="D39" i="2"/>
  <c r="A41" i="2"/>
  <c r="A46" i="2"/>
  <c r="A27" i="2"/>
  <c r="G2" i="2"/>
  <c r="D29" i="2"/>
  <c r="A23" i="2" s="1"/>
  <c r="Y19" i="5"/>
  <c r="H3" i="2" l="1"/>
  <c r="C3" i="2"/>
  <c r="D3" i="2"/>
  <c r="Y22" i="5"/>
  <c r="A49" i="2"/>
  <c r="A48" i="2"/>
  <c r="A68" i="2"/>
  <c r="AA21" i="5" l="1"/>
  <c r="AA22" i="5" s="1"/>
  <c r="Z24" i="5" s="1"/>
  <c r="Z25" i="5" s="1"/>
  <c r="AA25" i="5" s="1"/>
</calcChain>
</file>

<file path=xl/sharedStrings.xml><?xml version="1.0" encoding="utf-8"?>
<sst xmlns="http://schemas.openxmlformats.org/spreadsheetml/2006/main" count="731" uniqueCount="567">
  <si>
    <t>氏名：</t>
  </si>
  <si>
    <t>藤田 拓也</t>
  </si>
  <si>
    <t>黒岡 敦史</t>
  </si>
  <si>
    <t>100日間</t>
  </si>
  <si>
    <t>有効期間：</t>
  </si>
  <si>
    <t>田坂 勇人</t>
  </si>
  <si>
    <t>有効期限：</t>
  </si>
  <si>
    <t>松本 皓汰</t>
  </si>
  <si>
    <t>シリアル値</t>
  </si>
  <si>
    <t>貸与パソコン</t>
  </si>
  <si>
    <t>貸与日</t>
  </si>
  <si>
    <t>回収</t>
  </si>
  <si>
    <t>OK04-</t>
  </si>
  <si>
    <t>A1</t>
  </si>
  <si>
    <t>-PC0</t>
  </si>
  <si>
    <t>today</t>
  </si>
  <si>
    <t>start</t>
  </si>
  <si>
    <t>end</t>
  </si>
  <si>
    <t>4文字姓</t>
  </si>
  <si>
    <t>period</t>
  </si>
  <si>
    <t>氏名：加茂 直人有効期間：100日間有効期限：2026年 1月18日</t>
  </si>
  <si>
    <t>直線入力</t>
  </si>
  <si>
    <t>100日未満</t>
  </si>
  <si>
    <t>Ctrl＋shift + Vではりつける</t>
  </si>
  <si>
    <t>2025年 8月20日</t>
  </si>
  <si>
    <t>福光 哲也</t>
  </si>
  <si>
    <t>2026年 9月19日</t>
  </si>
  <si>
    <t>取得数</t>
  </si>
  <si>
    <t>光井 俊貴</t>
  </si>
  <si>
    <t>接続定義ファイル送付のお知らせ(BeatAccessアプリ更新のお願い）</t>
  </si>
  <si>
    <t>検索語句</t>
  </si>
  <si>
    <t>更新貼付</t>
  </si>
  <si>
    <t>氏名</t>
  </si>
  <si>
    <t>更新後の有効期限</t>
  </si>
  <si>
    <t>有効期間</t>
  </si>
  <si>
    <t>森本 航成</t>
  </si>
  <si>
    <t>おつかれさまです。</t>
  </si>
  <si>
    <t>瀬島 奏音</t>
  </si>
  <si>
    <t>2026年 2月 6日</t>
  </si>
  <si>
    <t>接続定義ファイルを送付させていただきます。</t>
  </si>
  <si>
    <t>2026年10月24日</t>
  </si>
  <si>
    <t>2026年 7月26日</t>
  </si>
  <si>
    <t>松田 穂優</t>
  </si>
  <si>
    <t>有効期限が更新された利用者：</t>
  </si>
  <si>
    <t>■事前接続確認のお願い</t>
  </si>
  <si>
    <t>新規</t>
  </si>
  <si>
    <t>田中 航</t>
  </si>
  <si>
    <t>※リモートアクセスが外部（dowatec-wifi以外）からアクセスが前提です。</t>
  </si>
  <si>
    <t>2025年 1月 4日</t>
  </si>
  <si>
    <t>※スマホのテザリング・ポケットWi-Fi等で事前接続確認をお願いします。</t>
  </si>
  <si>
    <t>2025年 3月 7日</t>
  </si>
  <si>
    <t>2026年 4月25日</t>
  </si>
  <si>
    <t>事前に接続を確認しておいてください。</t>
  </si>
  <si>
    <t>１＝新規(列記）</t>
  </si>
  <si>
    <t>２＝新規(分割）</t>
  </si>
  <si>
    <t>０＝延長</t>
  </si>
  <si>
    <t>※メールアドレスに伴うリモートアクセスの設定変更はございません。</t>
  </si>
  <si>
    <t>新規一本</t>
  </si>
  <si>
    <t>新規分割</t>
  </si>
  <si>
    <t>森廣 和明</t>
  </si>
  <si>
    <t>辻 浩輝</t>
  </si>
  <si>
    <t>※IDパスがお忘れの場合もこちらのアカウントにご連絡お願いします。</t>
  </si>
  <si>
    <t>よろしくお願いいたします。</t>
  </si>
  <si>
    <t>万の位</t>
  </si>
  <si>
    <t>千の位</t>
  </si>
  <si>
    <t>樽 孝一</t>
  </si>
  <si>
    <t>2026年 4月15日</t>
  </si>
  <si>
    <t>※ご利用最終日に近づきましたら、延長が必要な場合には再申請お願いいたします。</t>
  </si>
  <si>
    <t>スケジュール</t>
  </si>
  <si>
    <t>beat accessのアプリのバージョンアップもお願いします。(Beat access4.0.0が最新バージョン）</t>
  </si>
  <si>
    <t>https://www.fujifilm.com/fb/support/service/beat/tech/ras</t>
  </si>
  <si>
    <t>ワークフロー</t>
  </si>
  <si>
    <t>BeatAccess IDの送付について</t>
  </si>
  <si>
    <t>DTEシステム室受付窓口 前田です。</t>
  </si>
  <si>
    <t>このIDは、BeatAccessのサービスご利用とにサイトログインする際に必要となりますので、</t>
  </si>
  <si>
    <t>大切に保管してください。また、セキュリティのため、他人と共有しないようお願いいたします。</t>
  </si>
  <si>
    <t xml:space="preserve"> BeatAccess ID/PASSWORDの送付について</t>
  </si>
  <si>
    <t>DTEシステム室受付窓口　前田です。</t>
  </si>
  <si>
    <t>このPASSWORDは、BeatAccessのサービスご利用とにサイトログインする際に必要となりますので、</t>
  </si>
  <si>
    <t>←更新した日に書き換えること</t>
  </si>
  <si>
    <t>↓修正、追加時の日付を残すこと</t>
  </si>
  <si>
    <t>利用者の情報</t>
  </si>
  <si>
    <t>Ｎo.</t>
  </si>
  <si>
    <t>ログインID</t>
  </si>
  <si>
    <t>ふりがな</t>
  </si>
  <si>
    <t>パスワード</t>
  </si>
  <si>
    <t>メールアドレス</t>
  </si>
  <si>
    <t>備考</t>
  </si>
  <si>
    <t>青山　陽哉　</t>
  </si>
  <si>
    <t>aoyamah</t>
  </si>
  <si>
    <t>あおやま　はるや</t>
  </si>
  <si>
    <t>aoyamah3@dowa.co.jp</t>
  </si>
  <si>
    <t>赤沢　英樹</t>
  </si>
  <si>
    <t>hideki_akazawa</t>
  </si>
  <si>
    <t>あかざわ　ひでき</t>
  </si>
  <si>
    <t>akazawah@dowa.co.jp</t>
  </si>
  <si>
    <t>2023/12/14　追加</t>
  </si>
  <si>
    <t>秋山　雄介</t>
  </si>
  <si>
    <t>akiyamay</t>
  </si>
  <si>
    <t>あきやま　ゆうすけ</t>
  </si>
  <si>
    <t>akiyay1@dowa.co.jp</t>
  </si>
  <si>
    <t>2024/10追加</t>
  </si>
  <si>
    <t>阿崎　智也</t>
  </si>
  <si>
    <t>tomoya_azaki</t>
  </si>
  <si>
    <t>あざき　ともや</t>
  </si>
  <si>
    <t>Pb73Zm6S</t>
  </si>
  <si>
    <t>azakit@dowa.co.jp</t>
  </si>
  <si>
    <t>荒木　佑貴夫</t>
  </si>
  <si>
    <t>yukio_araki</t>
  </si>
  <si>
    <t>あらき　ゆきお</t>
  </si>
  <si>
    <t>EyiJA4NE</t>
  </si>
  <si>
    <t>arakiy@dowa.co.jp</t>
  </si>
  <si>
    <t>五十地　龍彦</t>
  </si>
  <si>
    <t>tatsuhiko_isochi</t>
  </si>
  <si>
    <t>いそち　たつひこ</t>
  </si>
  <si>
    <t>jW68QZMw</t>
  </si>
  <si>
    <t>isochit@dowa.co.jp</t>
  </si>
  <si>
    <t>市成　年弘</t>
  </si>
  <si>
    <t>toshihiro_ichinari</t>
  </si>
  <si>
    <t>いちなり　としひろ</t>
  </si>
  <si>
    <t>Za2wcfXE</t>
  </si>
  <si>
    <t>ichinart@dowa.co.jp</t>
  </si>
  <si>
    <t>稲井　佳暢</t>
  </si>
  <si>
    <t>yoshinobu_inai</t>
  </si>
  <si>
    <t>いない　よしのぶ</t>
  </si>
  <si>
    <t>c3SJ65gf</t>
  </si>
  <si>
    <t>inaiy@dowa.co.jp</t>
  </si>
  <si>
    <t>大村　祥平</t>
  </si>
  <si>
    <t>syouhei_omura</t>
  </si>
  <si>
    <t>おおむら　しょうへい</t>
  </si>
  <si>
    <t>h3FzTJCi</t>
  </si>
  <si>
    <t>oomuras1@dowa.co.jp</t>
  </si>
  <si>
    <t>甲斐　康平</t>
  </si>
  <si>
    <t>kouhei_kai</t>
  </si>
  <si>
    <t>かい　こうへい</t>
  </si>
  <si>
    <t>kaik@dowa.co.jp</t>
  </si>
  <si>
    <t>金平　孝博</t>
  </si>
  <si>
    <t>takahiro_kanehira</t>
  </si>
  <si>
    <t>かねひら　たかひろ</t>
  </si>
  <si>
    <t>fH4YKtqa</t>
  </si>
  <si>
    <t>kanehirt@dowa.co.jp</t>
  </si>
  <si>
    <t>鎌田　知孝</t>
  </si>
  <si>
    <t>tomotaka_kamada</t>
  </si>
  <si>
    <t>かまだ　ともたか</t>
  </si>
  <si>
    <t>Q9v25jdV</t>
  </si>
  <si>
    <t>kamadat1@dowa.co.jp</t>
  </si>
  <si>
    <t>2024/2/9パスワード設定</t>
  </si>
  <si>
    <t>加茂　直人</t>
  </si>
  <si>
    <t>naoto_kamo</t>
  </si>
  <si>
    <t>かも　なおと</t>
  </si>
  <si>
    <t>P8aQvb6H</t>
  </si>
  <si>
    <t>kamon@dowa.co.jp</t>
  </si>
  <si>
    <t>河上　泰生</t>
  </si>
  <si>
    <t>taisei_kawakami</t>
  </si>
  <si>
    <t>かわかみ　たいせい</t>
  </si>
  <si>
    <t>RxqlNkjw</t>
  </si>
  <si>
    <t>kawakat1@dowa.co.jp</t>
  </si>
  <si>
    <t>川淵　佑樹</t>
  </si>
  <si>
    <t>yuki_kawabuchi</t>
  </si>
  <si>
    <t>かわぶち　ゆうき</t>
  </si>
  <si>
    <t>Y3d6MwSz</t>
  </si>
  <si>
    <t>kawabucy@dowa.co.jp</t>
  </si>
  <si>
    <t>岸　一彦</t>
  </si>
  <si>
    <t>kishi</t>
  </si>
  <si>
    <t>きし　かずひこ</t>
  </si>
  <si>
    <t>kishik3@dowa.co.jp</t>
  </si>
  <si>
    <t>北井　晴也</t>
  </si>
  <si>
    <t>haruya_kitai</t>
  </si>
  <si>
    <t>きたい　はるや</t>
  </si>
  <si>
    <t>ZgNtBbKm</t>
  </si>
  <si>
    <t>kitaih@dowa.co.jp</t>
  </si>
  <si>
    <t>清野　恵理香</t>
  </si>
  <si>
    <t>kiyonoe</t>
  </si>
  <si>
    <t>きよの　えりか</t>
  </si>
  <si>
    <t>9ck4STwR</t>
  </si>
  <si>
    <t>kiyonoe@dowa.co.jp</t>
  </si>
  <si>
    <t>桐本　知幸</t>
  </si>
  <si>
    <t>tomoyuki_kirimoto</t>
  </si>
  <si>
    <t>きりもと　ともゆき</t>
  </si>
  <si>
    <t>S4ruxEaf</t>
  </si>
  <si>
    <t>kirimott@dowa.co.jp</t>
  </si>
  <si>
    <t>黒岡　敦史</t>
  </si>
  <si>
    <t>atsushi_kurooka</t>
  </si>
  <si>
    <t>くろおか　あつし</t>
  </si>
  <si>
    <t>e2PW8iUy</t>
  </si>
  <si>
    <t>kurookaa@dowa.co.jp</t>
  </si>
  <si>
    <t>黒﨑　凌</t>
  </si>
  <si>
    <t>ryou_kurosaki</t>
  </si>
  <si>
    <t>くろさき　りょう</t>
  </si>
  <si>
    <t>jN5DZumY</t>
  </si>
  <si>
    <t>kurosakr@dowa.co.jp</t>
  </si>
  <si>
    <t>小嵐　愛子</t>
  </si>
  <si>
    <t>aiko_koarashi</t>
  </si>
  <si>
    <t>こあらし　あいこ</t>
  </si>
  <si>
    <t>koarashi2002</t>
  </si>
  <si>
    <t>koarasha@dowa.co.jp</t>
  </si>
  <si>
    <t>高性能　デスクトップ用1</t>
  </si>
  <si>
    <t>simpc</t>
  </si>
  <si>
    <t>こうせいのう　ですくとっぷいち</t>
  </si>
  <si>
    <t>yoshinakar@dowatec.co.jp</t>
  </si>
  <si>
    <t>2025/7/7：再確認。パスワード不明。</t>
  </si>
  <si>
    <t>小庭　昭之</t>
  </si>
  <si>
    <t>akiyuki_koniwa</t>
  </si>
  <si>
    <t>こにわ　あきゆき</t>
  </si>
  <si>
    <t>cK5GR4ys</t>
  </si>
  <si>
    <t>koniwaa@dowa.co.jp</t>
  </si>
  <si>
    <t>坂田　大貴</t>
  </si>
  <si>
    <t>hiroki_sakata</t>
  </si>
  <si>
    <t>さかた　ひろき</t>
  </si>
  <si>
    <t>sakatah@dowa.co.jp</t>
  </si>
  <si>
    <t>實盛　将城</t>
  </si>
  <si>
    <t>masaki_jitsumori</t>
  </si>
  <si>
    <t>じつもり　まさき</t>
  </si>
  <si>
    <t>b6V9QDtx</t>
  </si>
  <si>
    <t>jitsumm@dowa.co.jp</t>
  </si>
  <si>
    <t>白神　昌弥</t>
  </si>
  <si>
    <t>masaya_shiraga</t>
  </si>
  <si>
    <t>しらが　まさや</t>
  </si>
  <si>
    <t>r7DwUhfG</t>
  </si>
  <si>
    <t>shiragm1@dowa.co.jp</t>
  </si>
  <si>
    <t>白山　紘平</t>
  </si>
  <si>
    <t>kouhei_shirayama</t>
  </si>
  <si>
    <t>しらやま　こうへい</t>
  </si>
  <si>
    <t>Dg3Lf9qF</t>
  </si>
  <si>
    <t>shirayak@dowa.co.jp</t>
  </si>
  <si>
    <t>須々木　秀行</t>
  </si>
  <si>
    <t>susukih</t>
  </si>
  <si>
    <t>すすき　ひでゆき</t>
  </si>
  <si>
    <t>Jk5pSCUD</t>
  </si>
  <si>
    <t>susukih@dowa.co.jp</t>
  </si>
  <si>
    <t>瀬島　奏音</t>
  </si>
  <si>
    <t>kanato_sejima</t>
  </si>
  <si>
    <t>せじま　かなと</t>
  </si>
  <si>
    <t>FiehgAHz</t>
  </si>
  <si>
    <t>sejimak@dowa.co.jp</t>
  </si>
  <si>
    <t>髙見　允基</t>
  </si>
  <si>
    <t>masanori_takami</t>
  </si>
  <si>
    <t>たかみ　まさのり</t>
  </si>
  <si>
    <t>Vz782TXB</t>
  </si>
  <si>
    <t>takamim@dowa.co.jp</t>
  </si>
  <si>
    <t>竹内　陽道</t>
  </si>
  <si>
    <t>harumichi_takeuchi</t>
  </si>
  <si>
    <t>たけうち　はるみち</t>
  </si>
  <si>
    <t>q6EYieDt</t>
  </si>
  <si>
    <t>takeuch1@dowa.co.jp</t>
  </si>
  <si>
    <t>2023/12/4　追加</t>
  </si>
  <si>
    <t>田坂　勇人</t>
  </si>
  <si>
    <t>yuto_tasaka</t>
  </si>
  <si>
    <t>たさか　ゆうと</t>
  </si>
  <si>
    <t>Th2ER7tq</t>
  </si>
  <si>
    <t>tasakay@dowa.co.jp</t>
  </si>
  <si>
    <t>田中　浩二</t>
  </si>
  <si>
    <t>koji_tanaka</t>
  </si>
  <si>
    <t>たなか　こうじ</t>
  </si>
  <si>
    <t>Zk3z7g9V</t>
  </si>
  <si>
    <t>tanakak3@dowa.co.jp</t>
  </si>
  <si>
    <t>田中　航</t>
  </si>
  <si>
    <t>wataru_tanaka</t>
  </si>
  <si>
    <t>たなか　わたる</t>
  </si>
  <si>
    <t>w5RKnfu2</t>
  </si>
  <si>
    <t>tanakaw@dowa.co.jp</t>
  </si>
  <si>
    <t>谷本　宗佑</t>
  </si>
  <si>
    <t>sousuke_tanimoto</t>
  </si>
  <si>
    <t>たにもと　そうすけ</t>
  </si>
  <si>
    <t>tanimots@dowa.co.jp</t>
  </si>
  <si>
    <t>樽　孝一</t>
  </si>
  <si>
    <t>kohichi_taru</t>
  </si>
  <si>
    <t>たる　こういち</t>
  </si>
  <si>
    <t>Wx8XEeGu</t>
  </si>
  <si>
    <t>taruk@dowa.co.jp</t>
  </si>
  <si>
    <t>辻　浩輝</t>
  </si>
  <si>
    <t>hiroki_tsuji</t>
  </si>
  <si>
    <t>つじ　ひろき</t>
  </si>
  <si>
    <t>hB4tEH6F</t>
  </si>
  <si>
    <t>tsujih@dowa.co.jp</t>
  </si>
  <si>
    <t>坪井　直也</t>
  </si>
  <si>
    <t>naoya_tsuboi</t>
  </si>
  <si>
    <t>つぼい　なおや</t>
  </si>
  <si>
    <t>nao1990</t>
  </si>
  <si>
    <t>tsuboin@dowa.co.jp</t>
  </si>
  <si>
    <t>中桐　太一</t>
  </si>
  <si>
    <t>taichi_nakagiri</t>
  </si>
  <si>
    <t>なかぎり　たいち</t>
  </si>
  <si>
    <t>c6QHyqhA</t>
  </si>
  <si>
    <t>nakagit@dowa.co.jp</t>
  </si>
  <si>
    <t>仲澤　健太</t>
  </si>
  <si>
    <t>kenta_nakazawa</t>
  </si>
  <si>
    <t>なかざわ　けんた</t>
  </si>
  <si>
    <t>Ke7LUpWZ</t>
  </si>
  <si>
    <t>nakazak2@dowa.co.jp</t>
  </si>
  <si>
    <t>2024/4/3追加</t>
  </si>
  <si>
    <t>中村　瑞樹</t>
  </si>
  <si>
    <t>mizuki_nakamura</t>
  </si>
  <si>
    <t>なかむら　みずき</t>
  </si>
  <si>
    <t>nakamum0@dowa.co.jp</t>
  </si>
  <si>
    <t>夏井　崇彰</t>
  </si>
  <si>
    <t>takaaki_natsui</t>
  </si>
  <si>
    <t>なつい　たかあき</t>
  </si>
  <si>
    <t>iK8hsEQX</t>
  </si>
  <si>
    <t>natsuit@dowa.co.jp</t>
  </si>
  <si>
    <t>芳賀　英人</t>
  </si>
  <si>
    <t>hagah</t>
  </si>
  <si>
    <t>はが　ひでと</t>
  </si>
  <si>
    <t>mV37bWXe</t>
  </si>
  <si>
    <t>hagah@dowa.co.jp</t>
  </si>
  <si>
    <t>蜂谷　正道</t>
  </si>
  <si>
    <t>masamichi_hachiya</t>
  </si>
  <si>
    <t>はちや　まさみち</t>
  </si>
  <si>
    <t>qZ9AHkM7</t>
  </si>
  <si>
    <t>hachiyam@dowa.co.jp</t>
  </si>
  <si>
    <t>春名　創哉　</t>
  </si>
  <si>
    <t>souya_haruna</t>
  </si>
  <si>
    <t>はるな　そうや</t>
  </si>
  <si>
    <t>harunas@dowa.co.jp</t>
  </si>
  <si>
    <t>春名　創哉</t>
  </si>
  <si>
    <t>平岡　隆治</t>
  </si>
  <si>
    <t>takaharu_hiraoka</t>
  </si>
  <si>
    <t>ひらおか　たかはる</t>
  </si>
  <si>
    <t>B5tDDFTQ</t>
  </si>
  <si>
    <t>hiraokt1@dowa.co.jp</t>
  </si>
  <si>
    <t>福光　哲也</t>
  </si>
  <si>
    <t>tetsuya_fukumitsu</t>
  </si>
  <si>
    <t>ふくみつ　てつや</t>
  </si>
  <si>
    <t>fukumitt@dowa.co.jp</t>
  </si>
  <si>
    <t>2025/4/14変更</t>
  </si>
  <si>
    <t>藤田　拓也</t>
  </si>
  <si>
    <t>takuya_fujita</t>
  </si>
  <si>
    <t>ふじた　たくや</t>
  </si>
  <si>
    <t>7YafzkHZ</t>
  </si>
  <si>
    <t>fujitat7@dowa.co.jp</t>
  </si>
  <si>
    <t>藤原　昌之</t>
  </si>
  <si>
    <t>yoshiyuki_fujiwara</t>
  </si>
  <si>
    <t>ふじわら　よしゆき</t>
  </si>
  <si>
    <t>J5apWE4k</t>
  </si>
  <si>
    <t>fujiwary@dowa.co.jp</t>
  </si>
  <si>
    <t>古川　留久</t>
  </si>
  <si>
    <t>ryuku_furukawa</t>
  </si>
  <si>
    <t>ふるかわ　りゅうく</t>
  </si>
  <si>
    <t>Sv8BhEaF</t>
  </si>
  <si>
    <t>furukawr@dowa.co.jp</t>
  </si>
  <si>
    <t>前田　慎一</t>
  </si>
  <si>
    <t>shinichi_maeda</t>
  </si>
  <si>
    <t>まえだ　しんいち</t>
  </si>
  <si>
    <t>p7ATBZ9s</t>
  </si>
  <si>
    <t>maedas3@dowa.co.jp</t>
  </si>
  <si>
    <t>2024/2/8追加</t>
  </si>
  <si>
    <t>前田　卓大</t>
  </si>
  <si>
    <t>maedat</t>
  </si>
  <si>
    <t>まえだ　たくお</t>
  </si>
  <si>
    <t>4EkjmeFz</t>
  </si>
  <si>
    <t>maedat5@dowa.co.jp</t>
  </si>
  <si>
    <t>松田　穂優</t>
  </si>
  <si>
    <t>miyuu_matsuda</t>
  </si>
  <si>
    <t>まつだ　みゆう</t>
  </si>
  <si>
    <t>A8w9Fqe6</t>
  </si>
  <si>
    <t>matsudm@dowa.co.jp</t>
  </si>
  <si>
    <t>松本　皓汰</t>
  </si>
  <si>
    <t>kota_matsumoto</t>
  </si>
  <si>
    <t>まつもと　こうた</t>
  </si>
  <si>
    <t>nfRLmeRH</t>
  </si>
  <si>
    <t>matsumk8@dowa.co.jp</t>
  </si>
  <si>
    <t>三笠　哲也</t>
  </si>
  <si>
    <t>tetsuya_mikasa</t>
  </si>
  <si>
    <t>みかさ　てつや</t>
  </si>
  <si>
    <t>C5xMFntS</t>
  </si>
  <si>
    <t>mikasat@dowa.co.jp</t>
  </si>
  <si>
    <t>光井　俊貴</t>
  </si>
  <si>
    <t>toshiki_mitsui</t>
  </si>
  <si>
    <t>みつい　としき</t>
  </si>
  <si>
    <t>x6NKmz2g</t>
  </si>
  <si>
    <t>mitsuit@dowa.co.jp</t>
  </si>
  <si>
    <t>宮岡　博</t>
  </si>
  <si>
    <t>hiroshi_miyaoka</t>
  </si>
  <si>
    <t>みやおか　ひろし</t>
  </si>
  <si>
    <t>H9k6ed2V</t>
  </si>
  <si>
    <t>miyaokah@dowa.co.jp</t>
  </si>
  <si>
    <t>村井　優介</t>
  </si>
  <si>
    <t>yuusuke_murai</t>
  </si>
  <si>
    <t>むらい　ゆうすけ</t>
  </si>
  <si>
    <t>a5UHmXgp</t>
  </si>
  <si>
    <t>muraiy1@dowa.co.jp</t>
  </si>
  <si>
    <t>守谷　明</t>
  </si>
  <si>
    <t>akira_moritani</t>
  </si>
  <si>
    <t>もりたに　あきら</t>
  </si>
  <si>
    <t>moritana@dowa.co.jp</t>
  </si>
  <si>
    <t>森廣　和明</t>
  </si>
  <si>
    <t>kazuaki_morihiro</t>
  </si>
  <si>
    <t>もりひろ　かずあき</t>
  </si>
  <si>
    <t>Na4XL2uw</t>
  </si>
  <si>
    <t>morihik1@dowa.co.jp</t>
  </si>
  <si>
    <t>森本　航成</t>
  </si>
  <si>
    <t>kosei_morimoto</t>
  </si>
  <si>
    <t>もりもと　こうせい</t>
  </si>
  <si>
    <t>27TLdFqM</t>
  </si>
  <si>
    <t>morimok5@dowa.co.jp</t>
  </si>
  <si>
    <t>山崎　涼平</t>
  </si>
  <si>
    <t>ryohei_yamasaki</t>
  </si>
  <si>
    <t>やまさき　りょうへい</t>
  </si>
  <si>
    <t>Nc6WUZxM</t>
  </si>
  <si>
    <t>ryohei_yamasaki@dowatec.co.jp</t>
  </si>
  <si>
    <t>吉田　陽葵</t>
  </si>
  <si>
    <t>haruki_yoshida</t>
  </si>
  <si>
    <t>よしだ　はるき</t>
  </si>
  <si>
    <t>X2yVb5n8</t>
  </si>
  <si>
    <t>yoshidh2@dowa.co.jp</t>
  </si>
  <si>
    <t>2024/12/5：396624</t>
  </si>
  <si>
    <t>吉中　良輔</t>
  </si>
  <si>
    <t>yoshinakar</t>
  </si>
  <si>
    <t>よしなか　りょうすけ</t>
  </si>
  <si>
    <t>FILIA000</t>
  </si>
  <si>
    <t>yosinakr@dowa.co.jp</t>
  </si>
  <si>
    <t>2024/12/5：471279</t>
  </si>
  <si>
    <t>渡邉　将人</t>
  </si>
  <si>
    <t>masato_watanabe</t>
  </si>
  <si>
    <t>わたなべ　まさと</t>
  </si>
  <si>
    <t>mN79VvCz</t>
  </si>
  <si>
    <t>watanam2@dowa.co.jp</t>
  </si>
  <si>
    <t>森田　健次</t>
  </si>
  <si>
    <t>kenji_morita</t>
  </si>
  <si>
    <t>もりた　けんじ</t>
  </si>
  <si>
    <t>zFFyTNbd</t>
  </si>
  <si>
    <t>moritak3@dowa.co.jp</t>
  </si>
  <si>
    <t>山本　蒼大</t>
  </si>
  <si>
    <t>sota_yamamoto</t>
  </si>
  <si>
    <t>やまもと　そうた</t>
  </si>
  <si>
    <t>KdHdf2La</t>
  </si>
  <si>
    <t>yamams10@dowa.co.jp</t>
  </si>
  <si>
    <t>2025/8/4追加</t>
  </si>
  <si>
    <t xml:space="preserve">	岩渕　多美夫</t>
  </si>
  <si>
    <t>tamio_iwabuchi</t>
  </si>
  <si>
    <t>岩渕　多美夫</t>
  </si>
  <si>
    <t>いわぶち　たみお</t>
  </si>
  <si>
    <t>K2eiBGa4</t>
  </si>
  <si>
    <t>iwabuct2@dowa.co.jp</t>
  </si>
  <si>
    <t>2025/9/8追加</t>
  </si>
  <si>
    <t>江草 太一</t>
  </si>
  <si>
    <t>taichi_egusa</t>
  </si>
  <si>
    <t>えぐさ たいち</t>
  </si>
  <si>
    <t>g9DDnyHQ</t>
  </si>
  <si>
    <t>egusat@dowa.co.jp</t>
  </si>
  <si>
    <t>濵　晋吾</t>
  </si>
  <si>
    <t>shingo_hama</t>
  </si>
  <si>
    <t>はま　しんご</t>
  </si>
  <si>
    <t>MdH34HJi</t>
  </si>
  <si>
    <t>hamas@dowa.co.jp</t>
  </si>
  <si>
    <t>坂元　陽向</t>
  </si>
  <si>
    <t>hinata_sakamoto</t>
  </si>
  <si>
    <t>さかもと　ひなた</t>
  </si>
  <si>
    <t>N5DFr9ZF</t>
  </si>
  <si>
    <t>sakamoh2@dowa.co.jp</t>
  </si>
  <si>
    <t>氏家　豪紀</t>
  </si>
  <si>
    <t>goki_ujike</t>
  </si>
  <si>
    <t>うじけ　ごうき</t>
  </si>
  <si>
    <t>mE69zbGD</t>
  </si>
  <si>
    <t>ujikeg@dowa.co.jp</t>
  </si>
  <si>
    <t>神原　圭貴</t>
  </si>
  <si>
    <t>yoshiki_kambara</t>
  </si>
  <si>
    <t>かんばら　よしき</t>
  </si>
  <si>
    <t>y5kD9NJZ</t>
  </si>
  <si>
    <t>kanbary1@dowa.co.jp</t>
  </si>
  <si>
    <t>下原　悠人</t>
  </si>
  <si>
    <t>yuto_shimohara</t>
  </si>
  <si>
    <t>しもはら　ゆうと</t>
  </si>
  <si>
    <t>e9mgrAQM</t>
  </si>
  <si>
    <t>shimohy1@dowa.co.jp</t>
  </si>
  <si>
    <t>高村　元</t>
  </si>
  <si>
    <t>hajime_takamura</t>
  </si>
  <si>
    <t>たかむら　はじめ</t>
  </si>
  <si>
    <t>3KybtZ7d</t>
  </si>
  <si>
    <t>takamuh1@dowa.co.jp</t>
  </si>
  <si>
    <t>Midjourney</t>
  </si>
  <si>
    <t>ChatGPT</t>
  </si>
  <si>
    <t>AEONMobile</t>
  </si>
  <si>
    <t>トマト</t>
  </si>
  <si>
    <t>SMBC</t>
  </si>
  <si>
    <t>heyGen</t>
  </si>
  <si>
    <t>YouTubePremimum</t>
  </si>
  <si>
    <t>ゆうちょ</t>
  </si>
  <si>
    <t>家賃</t>
  </si>
  <si>
    <t>三井</t>
  </si>
  <si>
    <t>みずほ</t>
  </si>
  <si>
    <t>確定拠出年金</t>
  </si>
  <si>
    <t>PAYPAY</t>
  </si>
  <si>
    <t>DistroKid</t>
  </si>
  <si>
    <t>Kint</t>
  </si>
  <si>
    <t>seikyouONLINE</t>
  </si>
  <si>
    <t>SUNO INC. 6017417866</t>
  </si>
  <si>
    <t>Pollo.ai</t>
  </si>
  <si>
    <t>Ｍｉｃｒｏｓｏｆｔ</t>
  </si>
  <si>
    <t>OPENAI *CHATGPT SUBSCR 4158799686</t>
  </si>
  <si>
    <t>KONAMI</t>
  </si>
  <si>
    <t>エックスモバイル</t>
  </si>
  <si>
    <t>Ａｍａｚｏｎプライム会費</t>
  </si>
  <si>
    <t>★</t>
  </si>
  <si>
    <t>国民保険料</t>
  </si>
  <si>
    <t>国民年金保険料</t>
  </si>
  <si>
    <t>市民税・県民税</t>
  </si>
  <si>
    <t>マネ－フォワ－ドクラウド</t>
  </si>
  <si>
    <t>基礎控除</t>
  </si>
  <si>
    <t>まぐまぐ！</t>
  </si>
  <si>
    <t>中島</t>
  </si>
  <si>
    <t>ユ－ネクストサ－ビス利用料</t>
  </si>
  <si>
    <t>医療分</t>
  </si>
  <si>
    <t>suno</t>
  </si>
  <si>
    <t>ＧＯＯＧＬＥ　＊ＹｏｕＴｕｂｅＰｒｅｍｉ</t>
  </si>
  <si>
    <t>支援分</t>
  </si>
  <si>
    <t>ソフトバンクM</t>
  </si>
  <si>
    <t>介護分</t>
  </si>
  <si>
    <t>RADIKO エリアフリー</t>
  </si>
  <si>
    <t>Ｕ－ＮＥＸＴ</t>
  </si>
  <si>
    <t>※所得税がかかります。</t>
  </si>
  <si>
    <t>支払計</t>
  </si>
  <si>
    <t>月手取り</t>
  </si>
  <si>
    <t>手取り</t>
  </si>
  <si>
    <t>CupCut</t>
  </si>
  <si>
    <t>Olive クレジットモード</t>
  </si>
  <si>
    <t>以下の手順に従って、作業を進めてください。</t>
  </si>
  <si>
    <t>DOWA-PC自体の設定と周辺機器の設定（プリンター・scan・スマホ・tech）があります。</t>
  </si>
  <si>
    <t>━━━━━━━━━━━━━━━━ ■ STEP 1：新DOWAパソコンの受取と初期設定 ━━━━━━━━━━━━━━━━</t>
  </si>
  <si>
    <t>利用開始手順： [パソコンの利用開始手順について.pdf] ※SharePoint要ログイン</t>
  </si>
  <si>
    <t>こちら</t>
  </si>
  <si>
    <t>　　初期設定：DMS手順</t>
  </si>
  <si>
    <t>※Desknet's　ログイン必要</t>
  </si>
  <si>
    <t>━━━━━━━━━━━━━━━━ ■ STEP ２：テックパソコンでの初期設定 ━━━━━━━━━━━━━━━━</t>
  </si>
  <si>
    <t>その他マニュアル： [システム室マニュアル]（プリンタ・基幹システム設定等）</t>
  </si>
  <si>
    <t>アプリ</t>
  </si>
  <si>
    <t>プリンタ</t>
  </si>
  <si>
    <t>ネットワーク</t>
  </si>
  <si>
    <t>━━━━━━━━━━━━━━━━ ■ STEP 2：データ移行と旧パソコンの返却 ━━━━━━━━━━━━━━━━</t>
  </si>
  <si>
    <t>データ移行： OneDriveを使用（参考：[OneDriveのサインインと同期.mp4]）</t>
  </si>
  <si>
    <t>【データ移行時の注意点】</t>
  </si>
  <si>
    <t>1. 同期設定は新旧両方のPCで必要です。</t>
  </si>
  <si>
    <t>2. 必ず**「旧PCの同期完了」⇒「新PCの同期開始」**の順で行ってください。</t>
  </si>
  <si>
    <t>3. 大容量ファイルはエラーになる可能性があるため、不安な場合は事前にご相談ください。</t>
  </si>
  <si>
    <t>━━━━━━━━━━━━━━━━ ■ 期限内の対応が難しい場合 ━━━━━━━━━━━━━━━━</t>
  </si>
  <si>
    <t xml:space="preserve"> 万が一、期限までの対応が難しい場合は、事前にこのメールに**「全員に返信（CCは残す）」**で、理由をご連絡ください。</t>
  </si>
  <si>
    <t>以上、ご協力のほどよろしくお願いいたします。</t>
  </si>
  <si>
    <t>稲井　佳暢　様</t>
  </si>
  <si>
    <t>今回のパソコン入れ替えについて、全体の流れをご案内します。</t>
  </si>
  <si>
    <t>細かい操作は各マニュアルに記載がありますので、まずは全体の流れだけ把握していただければ十分です。</t>
  </si>
  <si>
    <t>■全体の流れ（おおまかなロードマップ）</t>
  </si>
  <si>
    <t>【STEP 1】新しいパソコンを受け取る</t>
  </si>
  <si>
    <t>　　↓</t>
  </si>
  <si>
    <t>【STEP 2】新しいパソコンの初期設定をする（サインインや基本的な設定）</t>
  </si>
  <si>
    <t>【STEP 3】旧パソコンからデータを移して、旧パソコンを返却する</t>
  </si>
  <si>
    <t>それぞれのステップの内容をもう少し詳しくご案内します。</t>
  </si>
  <si>
    <t>━━━━━━━━━━━━━━━━━━━━</t>
  </si>
  <si>
    <t>【STEP 1：新しいパソコンの受け取り】</t>
  </si>
  <si>
    <t>　・本日2026年7月16日（木）より受取可能です。</t>
  </si>
  <si>
    <t>　・ご都合のよいタイミングでシステム室まで取りに来てください。</t>
  </si>
  <si>
    <t>　・受け取り方法の詳細はこちら：[パソコンの利用開始手順について.pdf]（※SharePointのログインが必要です）</t>
  </si>
  <si>
    <t>【STEP 2：新しいパソコンの初期設定】</t>
  </si>
  <si>
    <t>　・初回起動時のサインインなど基本的な設定を行います。手順は[DMS手順]をご確認ください（※Desknet'sへのログインが必要です）。</t>
  </si>
  <si>
    <t>　・プリンターやネットワークなどの設定については、[システム室マニュアル]にすべてまとめてありますので、必要なときにご確認ください。</t>
  </si>
  <si>
    <t>　・もしOfficeやOutlook、Edgeなどでサインインを求められたら、いつものアカウントでサインインしていただけば大丈夫です。</t>
  </si>
  <si>
    <t>　・DOWANETに接続した際にパスワード変更を求められることがあります。その場合は画面の案内に従って進めてください。</t>
  </si>
  <si>
    <t>【STEP 3：データ移行と旧パソコンの返却】</t>
  </si>
  <si>
    <t>　・対象の旧パソコン：OK04-A1-PC0</t>
  </si>
  <si>
    <t>　・返却期限：2026年7月16日（木）</t>
  </si>
  <si>
    <t>　・データはOneDriveを使って新PCに移します。やり方はこちらの動画が参考になります：[OneDriveのサインインと同期.mp4]</t>
  </si>
  <si>
    <t>　・注意点は3つだけです。</t>
  </si>
  <si>
    <t>　　１. 旧・新どちらのPCでも同期の設定が必要です。</t>
  </si>
  <si>
    <t>　　２. 先に「旧PCの同期を完了」させてから、「新PCの同期を開始」してください。</t>
  </si>
  <si>
    <t>　　３. ファイルが大きい場合はうまく移行できないことがありますので、不安なときは事前にご相談ください。</t>
  </si>
  <si>
    <t>途中で困ったら？</t>
  </si>
  <si>
    <t>　・どのステップでも、不明な点があれば遠慮なくご連絡ください。</t>
  </si>
  <si>
    <t>　・期限（STEP3）までに対応が難しそうな場合は、事前にこのメールに「全員に返信（CCは残す）」で理由をご連絡ください。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</si>
</sst>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0">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theme="1"/>
      <name val="Yu Gothic UI"/>
      <family val="3"/>
      <charset val="128"/>
    </font>
    <font>
      <sz val="11"/>
      <color rgb="FF000000"/>
      <name val="Yu Gothic UI"/>
      <family val="3"/>
      <charset val="128"/>
    </font>
    <font>
      <sz val="8"/>
      <color rgb="FF000000"/>
      <name val="メイリオ"/>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b/>
      <sz val="11"/>
      <color rgb="FFFF0000"/>
      <name val="Yu Gothic UI"/>
      <family val="3"/>
      <charset val="128"/>
    </font>
    <font>
      <sz val="10"/>
      <name val="游ゴシック"/>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1" fillId="0" borderId="0">
      <alignment vertical="center"/>
    </xf>
    <xf numFmtId="0" fontId="5" fillId="0" borderId="0">
      <alignment vertical="center"/>
    </xf>
    <xf numFmtId="0" fontId="19" fillId="0" borderId="0">
      <alignment vertical="center"/>
    </xf>
    <xf numFmtId="0" fontId="20" fillId="0" borderId="0"/>
    <xf numFmtId="0" fontId="21" fillId="0" borderId="0"/>
    <xf numFmtId="0" fontId="22" fillId="0" borderId="0"/>
    <xf numFmtId="38" fontId="22" fillId="0" borderId="0"/>
    <xf numFmtId="0" fontId="23" fillId="0" borderId="0">
      <alignment vertical="center"/>
    </xf>
    <xf numFmtId="0" fontId="5" fillId="0" borderId="0">
      <alignment vertical="center"/>
    </xf>
  </cellStyleXfs>
  <cellXfs count="79">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7" fillId="0" borderId="0" xfId="0" applyFont="1" applyAlignment="1">
      <alignment horizontal="justify" vertical="center"/>
    </xf>
    <xf numFmtId="0" fontId="7" fillId="0" borderId="0" xfId="0" applyFont="1">
      <alignment vertical="center"/>
    </xf>
    <xf numFmtId="0" fontId="8"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9" fillId="0" borderId="0" xfId="0" applyFont="1" applyAlignment="1">
      <alignment horizontal="justify" vertical="center"/>
    </xf>
    <xf numFmtId="0" fontId="9" fillId="0" borderId="0" xfId="0" applyFont="1">
      <alignment vertical="center"/>
    </xf>
    <xf numFmtId="0" fontId="10"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2" fillId="0" borderId="0" xfId="0" applyNumberFormat="1" applyFont="1">
      <alignment vertical="center"/>
    </xf>
    <xf numFmtId="0" fontId="13" fillId="0" borderId="0" xfId="0" applyFont="1" applyAlignment="1">
      <alignment vertical="center" shrinkToFit="1"/>
    </xf>
    <xf numFmtId="0" fontId="12" fillId="0" borderId="0" xfId="0" applyFont="1" applyAlignment="1">
      <alignment horizontal="left" vertical="center"/>
    </xf>
    <xf numFmtId="0" fontId="14" fillId="2" borderId="2" xfId="1" applyFont="1" applyFill="1" applyBorder="1">
      <alignment vertical="center"/>
    </xf>
    <xf numFmtId="0" fontId="14"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5"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4"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7" fillId="0" borderId="0" xfId="0" applyFont="1">
      <alignment vertical="center"/>
    </xf>
    <xf numFmtId="3" fontId="17"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1" fillId="0" borderId="0" xfId="1">
      <alignment vertical="center"/>
    </xf>
    <xf numFmtId="0" fontId="18" fillId="8" borderId="0" xfId="0" applyFont="1" applyFill="1" applyAlignment="1">
      <alignment horizontal="right" vertical="center"/>
    </xf>
    <xf numFmtId="0" fontId="11" fillId="8" borderId="0" xfId="1" applyFill="1" applyAlignment="1">
      <alignment horizontal="left" vertical="center"/>
    </xf>
    <xf numFmtId="0" fontId="18" fillId="8" borderId="0" xfId="0" applyFont="1" applyFill="1" applyAlignment="1">
      <alignment horizontal="left" vertical="center"/>
    </xf>
    <xf numFmtId="184" fontId="24" fillId="9" borderId="11" xfId="0" applyNumberFormat="1" applyFont="1" applyFill="1" applyBorder="1" applyAlignment="1">
      <alignment horizontal="left" vertical="center"/>
    </xf>
    <xf numFmtId="184" fontId="0" fillId="0" borderId="0" xfId="0" applyNumberFormat="1">
      <alignment vertical="center"/>
    </xf>
    <xf numFmtId="0" fontId="4" fillId="0" borderId="0" xfId="9" applyFont="1">
      <alignment vertical="center"/>
    </xf>
    <xf numFmtId="0" fontId="4" fillId="0" borderId="0" xfId="9" applyFont="1" applyAlignment="1">
      <alignment horizontal="left" vertical="center" indent="1"/>
    </xf>
    <xf numFmtId="0" fontId="4" fillId="0" borderId="0" xfId="9" applyFont="1" applyAlignment="1">
      <alignment horizontal="left" vertical="center" indent="2"/>
    </xf>
    <xf numFmtId="0" fontId="25" fillId="0" borderId="0" xfId="9" applyFont="1" applyAlignment="1">
      <alignment horizontal="left" vertical="center" indent="2"/>
    </xf>
    <xf numFmtId="0" fontId="26" fillId="0" borderId="0" xfId="9" applyFont="1" applyAlignment="1">
      <alignment horizontal="left" vertical="center" indent="1"/>
    </xf>
    <xf numFmtId="0" fontId="4" fillId="0" borderId="0" xfId="9" applyFont="1" applyAlignment="1">
      <alignment horizontal="left" vertical="center" indent="3"/>
    </xf>
    <xf numFmtId="0" fontId="27" fillId="0" borderId="0" xfId="9" applyFont="1">
      <alignment vertical="center"/>
    </xf>
    <xf numFmtId="0" fontId="3" fillId="0" borderId="0" xfId="9" applyFont="1">
      <alignment vertical="center"/>
    </xf>
    <xf numFmtId="0" fontId="2"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1" fillId="0" borderId="0" xfId="9" applyFont="1">
      <alignment vertical="center"/>
    </xf>
    <xf numFmtId="0" fontId="1"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28" fillId="2" borderId="0" xfId="0" applyNumberFormat="1" applyFont="1" applyFill="1">
      <alignment vertical="center"/>
    </xf>
    <xf numFmtId="0" fontId="0" fillId="0" borderId="0" xfId="0" applyAlignment="1"/>
    <xf numFmtId="0" fontId="29" fillId="0" borderId="0" xfId="0" applyFont="1" applyAlignment="1"/>
  </cellXfs>
  <cellStyles count="10">
    <cellStyle name="ハイパーリンク" xfId="1" builtinId="8"/>
    <cellStyle name="ハイパーリンク 2" xfId="5" xr:uid="{00000000-0005-0000-0000-000005000000}"/>
    <cellStyle name="ハイパーリンク 3" xfId="8" xr:uid="{00000000-0005-0000-0000-000008000000}"/>
    <cellStyle name="桁区切り 2" xfId="7" xr:uid="{00000000-0005-0000-0000-000007000000}"/>
    <cellStyle name="標準" xfId="0" builtinId="0"/>
    <cellStyle name="標準 2" xfId="4" xr:uid="{00000000-0005-0000-0000-000004000000}"/>
    <cellStyle name="標準 2 2" xfId="6" xr:uid="{00000000-0005-0000-0000-000006000000}"/>
    <cellStyle name="標準 3" xfId="2" xr:uid="{00000000-0005-0000-0000-000002000000}"/>
    <cellStyle name="標準 4" xfId="3" xr:uid="{00000000-0005-0000-0000-000003000000}"/>
    <cellStyle name="標準 5" xfId="9"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A2FE2DE8-2689-3FE4-1290-9B9033D837E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www.fujifilm.com/fb/support/service/beat/tech/ras" TargetMode="Externa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sso.dowa.co.jp/scripts/dneo/z.exe?1z7bae78xr5f" TargetMode="External"/><Relationship Id="rId1"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J13"/>
  <sheetViews>
    <sheetView workbookViewId="0">
      <selection activeCell="B7" sqref="B7:D7"/>
    </sheetView>
  </sheetViews>
  <sheetFormatPr defaultRowHeight="16.8"/>
  <cols>
    <col min="2" max="2" width="10.3984375" style="77" bestFit="1" customWidth="1"/>
    <col min="3" max="3" width="15.19921875" style="77" bestFit="1" customWidth="1"/>
    <col min="9" max="9" width="15.19921875" style="77" bestFit="1" customWidth="1"/>
  </cols>
  <sheetData>
    <row r="2" spans="2:10">
      <c r="B2" t="s">
        <v>0</v>
      </c>
      <c r="C2" t="s">
        <v>1</v>
      </c>
      <c r="H2" t="s">
        <v>2</v>
      </c>
      <c r="I2" s="44">
        <v>46319</v>
      </c>
      <c r="J2" t="s">
        <v>3</v>
      </c>
    </row>
    <row r="3" spans="2:10">
      <c r="B3" t="s">
        <v>4</v>
      </c>
      <c r="C3" t="s">
        <v>3</v>
      </c>
      <c r="H3" t="s">
        <v>5</v>
      </c>
      <c r="I3">
        <v>46319</v>
      </c>
      <c r="J3" t="s">
        <v>3</v>
      </c>
    </row>
    <row r="4" spans="2:10">
      <c r="B4" t="s">
        <v>6</v>
      </c>
      <c r="C4" s="44">
        <v>46319</v>
      </c>
      <c r="H4" t="s">
        <v>7</v>
      </c>
      <c r="I4">
        <v>46319</v>
      </c>
      <c r="J4" t="s">
        <v>3</v>
      </c>
    </row>
    <row r="6" spans="2:10">
      <c r="B6" t="str">
        <f>C2</f>
        <v>藤田 拓也</v>
      </c>
      <c r="C6" s="10">
        <f>(C4)*1</f>
        <v>46319</v>
      </c>
      <c r="D6" t="str">
        <f>C3</f>
        <v>100日間</v>
      </c>
      <c r="E6" t="s">
        <v>8</v>
      </c>
      <c r="H6" t="str">
        <f>H2</f>
        <v>黒岡 敦史</v>
      </c>
      <c r="I6" t="str">
        <f>YEAR(I2)&amp;"年"&amp;MONTH(I2)&amp;"月"&amp;DAY(I2)&amp;"日"</f>
        <v>2026年10月24日</v>
      </c>
      <c r="J6" t="str">
        <f>J2</f>
        <v>100日間</v>
      </c>
    </row>
    <row r="7" spans="2:10">
      <c r="B7" t="str">
        <f>C2</f>
        <v>藤田 拓也</v>
      </c>
      <c r="C7" t="str">
        <f>YEAR(C4)&amp;"年"&amp;MONTH(C4)&amp;"月"&amp;DAY(C4)&amp;"日"</f>
        <v>2026年10月24日</v>
      </c>
      <c r="D7" t="str">
        <f>C3</f>
        <v>100日間</v>
      </c>
      <c r="H7" t="str">
        <f>H3</f>
        <v>田坂 勇人</v>
      </c>
      <c r="I7" t="str">
        <f>YEAR(I3)&amp;"年"&amp;MONTH(I3)&amp;"月"&amp;DAY(I3)&amp;"日"</f>
        <v>2026年10月24日</v>
      </c>
      <c r="J7" t="str">
        <f>J3</f>
        <v>100日間</v>
      </c>
    </row>
    <row r="8" spans="2:10">
      <c r="H8" t="str">
        <f>H4</f>
        <v>松本 皓汰</v>
      </c>
      <c r="I8" t="str">
        <f>YEAR(I4)&amp;"年"&amp;MONTH(I4)&amp;"月"&amp;DAY(I4)&amp;"日"</f>
        <v>2026年10月24日</v>
      </c>
      <c r="J8" t="str">
        <f>J4</f>
        <v>100日間</v>
      </c>
    </row>
    <row r="9" spans="2:10">
      <c r="B9" t="s">
        <v>9</v>
      </c>
    </row>
    <row r="10" spans="2:10">
      <c r="B10">
        <v>8</v>
      </c>
      <c r="C10" t="str">
        <f>VLOOKUP(B10,社員名!$B$4:$G$80,3,FALSE)&amp;" 様"</f>
        <v>稲井　佳暢 様</v>
      </c>
    </row>
    <row r="11" spans="2:10">
      <c r="B11" t="s">
        <v>10</v>
      </c>
      <c r="C11">
        <f ca="1">YEAR(TODAY())</f>
        <v>2026</v>
      </c>
      <c r="D11">
        <f ca="1">MONTH(TODAY())</f>
        <v>7</v>
      </c>
      <c r="E11">
        <f ca="1">DAY(TODAY())</f>
        <v>16</v>
      </c>
      <c r="G11" t="str">
        <f ca="1">TEXT((C11&amp;"/"&amp;D11&amp;"/"&amp;E11)*1,"AAA")</f>
        <v>木</v>
      </c>
    </row>
    <row r="12" spans="2:10">
      <c r="B12" t="s">
        <v>11</v>
      </c>
      <c r="C12">
        <f ca="1">YEAR(TODAY())</f>
        <v>2026</v>
      </c>
      <c r="D12">
        <f ca="1">MONTH(TODAY())</f>
        <v>7</v>
      </c>
      <c r="E12">
        <f ca="1">DAY(TODAY())</f>
        <v>16</v>
      </c>
      <c r="G12" t="str">
        <f ca="1">TEXT((C12&amp;"/"&amp;D12&amp;"/"&amp;E12)*1,"AAA")</f>
        <v>木</v>
      </c>
    </row>
    <row r="13" spans="2:10">
      <c r="C13" t="s">
        <v>12</v>
      </c>
      <c r="D13" t="s">
        <v>13</v>
      </c>
      <c r="E13" s="66" t="s">
        <v>14</v>
      </c>
      <c r="G13" t="str">
        <f>C13&amp;D13&amp;E13&amp;F13</f>
        <v>OK04-A1-PC0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V74"/>
  <sheetViews>
    <sheetView topLeftCell="A7" zoomScale="70" zoomScaleNormal="70" workbookViewId="0">
      <selection activeCell="A9" sqref="A9:A31"/>
    </sheetView>
  </sheetViews>
  <sheetFormatPr defaultColWidth="10.69921875" defaultRowHeight="16.8"/>
  <cols>
    <col min="1" max="1" width="121.69921875" style="77" bestFit="1" customWidth="1"/>
    <col min="4" max="4" width="10.59765625" style="77" customWidth="1"/>
    <col min="5" max="5" width="12.69921875" style="77" customWidth="1"/>
    <col min="6" max="6" width="17.09765625" style="77" bestFit="1" customWidth="1"/>
    <col min="7" max="7" width="11.8984375" style="77" customWidth="1"/>
    <col min="8" max="8" width="15.796875" style="77" bestFit="1" customWidth="1"/>
    <col min="9" max="9" width="9.19921875" style="77" bestFit="1" customWidth="1"/>
    <col min="10" max="10" width="17" style="77" bestFit="1" customWidth="1"/>
    <col min="11" max="11" width="10.8984375" style="77" bestFit="1" customWidth="1"/>
    <col min="12" max="12" width="8.59765625" style="77" bestFit="1" customWidth="1"/>
    <col min="13" max="13" width="4.3984375" style="77" bestFit="1" customWidth="1"/>
    <col min="15" max="15" width="10.69921875" style="77" customWidth="1"/>
    <col min="16" max="16" width="28" style="77" bestFit="1" customWidth="1"/>
    <col min="17" max="17" width="16.69921875" style="77" bestFit="1" customWidth="1"/>
    <col min="18" max="18" width="8.796875" style="77" bestFit="1" customWidth="1"/>
  </cols>
  <sheetData>
    <row r="1" spans="1:22">
      <c r="D1" s="24">
        <v>100</v>
      </c>
      <c r="E1" s="24">
        <v>60</v>
      </c>
      <c r="F1" s="24">
        <v>45</v>
      </c>
      <c r="G1" s="24">
        <v>30</v>
      </c>
      <c r="H1" s="24">
        <v>21</v>
      </c>
      <c r="I1" s="24">
        <v>14</v>
      </c>
      <c r="J1" s="24">
        <v>7</v>
      </c>
    </row>
    <row r="2" spans="1:22" ht="17.399999999999999" customHeight="1" thickBot="1">
      <c r="A2" t="s">
        <v>15</v>
      </c>
      <c r="B2" s="2">
        <f ca="1">TODAY()</f>
        <v>46219</v>
      </c>
      <c r="C2">
        <f ca="1">B4-B2+1</f>
        <v>-686</v>
      </c>
      <c r="D2" s="11">
        <f t="shared" ref="D2:J3" ca="1" si="0">$B2+D$1</f>
        <v>46319</v>
      </c>
      <c r="E2" s="11">
        <f t="shared" ca="1" si="0"/>
        <v>46279</v>
      </c>
      <c r="F2" s="11">
        <f t="shared" ca="1" si="0"/>
        <v>46264</v>
      </c>
      <c r="G2" s="11">
        <f t="shared" ca="1" si="0"/>
        <v>46249</v>
      </c>
      <c r="H2" s="11">
        <f t="shared" ca="1" si="0"/>
        <v>46240</v>
      </c>
      <c r="I2" s="11">
        <f t="shared" ca="1" si="0"/>
        <v>46233</v>
      </c>
      <c r="J2" s="11">
        <f t="shared" ca="1" si="0"/>
        <v>46226</v>
      </c>
    </row>
    <row r="3" spans="1:22" ht="17.399999999999999" customHeight="1" thickBot="1">
      <c r="A3" t="s">
        <v>16</v>
      </c>
      <c r="B3" s="4">
        <f ca="1">(K3&amp;"/"&amp;L3&amp;"/"&amp;M3)*1</f>
        <v>46219</v>
      </c>
      <c r="C3" s="5">
        <f ca="1">B4-B3+1</f>
        <v>-686</v>
      </c>
      <c r="D3" s="11">
        <f t="shared" ca="1" si="0"/>
        <v>46319</v>
      </c>
      <c r="E3" s="11">
        <f t="shared" ca="1" si="0"/>
        <v>46279</v>
      </c>
      <c r="F3" s="11">
        <f t="shared" ca="1" si="0"/>
        <v>46264</v>
      </c>
      <c r="G3" s="11">
        <f t="shared" ca="1" si="0"/>
        <v>46249</v>
      </c>
      <c r="H3" s="11">
        <f t="shared" ca="1" si="0"/>
        <v>46240</v>
      </c>
      <c r="I3" s="11">
        <f t="shared" ca="1" si="0"/>
        <v>46233</v>
      </c>
      <c r="J3" s="11">
        <f t="shared" ca="1" si="0"/>
        <v>46226</v>
      </c>
      <c r="K3">
        <f ca="1">YEAR(TODAY())</f>
        <v>2026</v>
      </c>
      <c r="L3">
        <f ca="1">MONTH(TODAY())</f>
        <v>7</v>
      </c>
      <c r="M3">
        <f ca="1">DAY(TODAY())</f>
        <v>16</v>
      </c>
    </row>
    <row r="4" spans="1:22">
      <c r="A4" t="s">
        <v>17</v>
      </c>
      <c r="B4" s="2">
        <f>(K4&amp;"/"&amp;L4&amp;"/"&amp;M4)*1</f>
        <v>45532</v>
      </c>
      <c r="K4">
        <v>2024</v>
      </c>
      <c r="L4">
        <v>8</v>
      </c>
      <c r="M4">
        <v>28</v>
      </c>
      <c r="Q4" t="s">
        <v>18</v>
      </c>
    </row>
    <row r="5" spans="1:22">
      <c r="A5" t="s">
        <v>19</v>
      </c>
      <c r="B5" s="3">
        <v>100</v>
      </c>
      <c r="C5" s="1">
        <f>B4-B5+1</f>
        <v>45433</v>
      </c>
      <c r="D5" s="31" t="s">
        <v>20</v>
      </c>
      <c r="E5" s="31"/>
      <c r="F5" s="31"/>
      <c r="G5" s="31"/>
      <c r="H5" s="31"/>
      <c r="I5" t="s">
        <v>21</v>
      </c>
      <c r="Q5" t="s">
        <v>22</v>
      </c>
    </row>
    <row r="6" spans="1:22">
      <c r="A6" t="s">
        <v>23</v>
      </c>
      <c r="D6" t="s">
        <v>4</v>
      </c>
      <c r="E6" t="s">
        <v>3</v>
      </c>
      <c r="Q6">
        <v>5</v>
      </c>
    </row>
    <row r="7" spans="1:22">
      <c r="D7" t="s">
        <v>6</v>
      </c>
      <c r="E7" t="s">
        <v>24</v>
      </c>
      <c r="I7" t="s">
        <v>25</v>
      </c>
      <c r="J7" t="s">
        <v>26</v>
      </c>
      <c r="K7" t="s">
        <v>3</v>
      </c>
      <c r="Q7">
        <v>14</v>
      </c>
    </row>
    <row r="8" spans="1:22">
      <c r="B8" s="23">
        <f>L12</f>
        <v>0</v>
      </c>
      <c r="D8">
        <f>LEN(D5)</f>
        <v>34</v>
      </c>
      <c r="E8" t="s">
        <v>27</v>
      </c>
      <c r="I8" t="s">
        <v>28</v>
      </c>
      <c r="J8" t="s">
        <v>26</v>
      </c>
      <c r="K8" t="s">
        <v>3</v>
      </c>
      <c r="Q8">
        <v>23</v>
      </c>
      <c r="R8" s="32">
        <f>Q7-Q6</f>
        <v>9</v>
      </c>
    </row>
    <row r="9" spans="1:22">
      <c r="A9" t="s">
        <v>29</v>
      </c>
      <c r="B9">
        <v>4</v>
      </c>
      <c r="C9" s="36" t="str">
        <f>MID(D5,F9,E9)</f>
        <v>加茂 直人</v>
      </c>
      <c r="D9" s="37"/>
      <c r="E9" s="38">
        <v>5</v>
      </c>
      <c r="F9" s="37">
        <v>4</v>
      </c>
      <c r="I9" t="s">
        <v>28</v>
      </c>
      <c r="Q9">
        <v>28</v>
      </c>
      <c r="R9" s="32">
        <f>Q8-Q7</f>
        <v>9</v>
      </c>
    </row>
    <row r="10" spans="1:22">
      <c r="B10" s="30">
        <v>14</v>
      </c>
      <c r="C10" s="36">
        <f>MID(D5,F10,E10)*1</f>
        <v>2026</v>
      </c>
      <c r="D10" s="37"/>
      <c r="E10" s="38">
        <v>4</v>
      </c>
      <c r="F10" s="37">
        <v>24</v>
      </c>
      <c r="G10" s="37">
        <v>25</v>
      </c>
      <c r="Q10">
        <v>31</v>
      </c>
      <c r="R10" s="32">
        <f>Q9-Q8</f>
        <v>5</v>
      </c>
    </row>
    <row r="11" spans="1:22" ht="18" customHeight="1">
      <c r="A11" s="19" t="str">
        <f>D20&amp;"様"</f>
        <v>藤田 拓也様</v>
      </c>
      <c r="C11" s="36">
        <f>MID(D5,F11,E11)*1</f>
        <v>1</v>
      </c>
      <c r="D11" s="37" t="s">
        <v>30</v>
      </c>
      <c r="E11" s="39">
        <v>2</v>
      </c>
      <c r="F11" s="37">
        <v>29</v>
      </c>
      <c r="G11" s="37">
        <v>30</v>
      </c>
      <c r="I11" t="s">
        <v>31</v>
      </c>
    </row>
    <row r="12" spans="1:22" ht="22.95" customHeight="1">
      <c r="A12" s="6"/>
      <c r="B12">
        <f>FIND(D12,E7)</f>
        <v>1</v>
      </c>
      <c r="C12" s="36">
        <f>MID(D5,F12,E12)*1</f>
        <v>18</v>
      </c>
      <c r="D12" s="38">
        <v>2025</v>
      </c>
      <c r="E12" s="38">
        <v>2</v>
      </c>
      <c r="F12" s="38">
        <v>32</v>
      </c>
      <c r="G12" s="37">
        <v>33</v>
      </c>
      <c r="I12" t="s">
        <v>32</v>
      </c>
      <c r="J12" s="34" t="s">
        <v>33</v>
      </c>
      <c r="K12" t="s">
        <v>34</v>
      </c>
      <c r="P12" s="52" t="s">
        <v>0</v>
      </c>
      <c r="Q12" s="53" t="s">
        <v>35</v>
      </c>
    </row>
    <row r="13" spans="1:22" ht="18" customHeight="1">
      <c r="A13" s="7" t="s">
        <v>36</v>
      </c>
      <c r="B13" s="16"/>
      <c r="C13" s="36">
        <f>MID(D5,F13,E13)*1</f>
        <v>100</v>
      </c>
      <c r="D13" s="38">
        <v>2025</v>
      </c>
      <c r="E13" s="38">
        <v>3</v>
      </c>
      <c r="F13" s="38">
        <v>14</v>
      </c>
      <c r="G13" s="37">
        <v>15</v>
      </c>
      <c r="H13">
        <v>1</v>
      </c>
      <c r="I13" t="s">
        <v>32</v>
      </c>
      <c r="J13" t="s">
        <v>33</v>
      </c>
      <c r="K13" t="s">
        <v>34</v>
      </c>
      <c r="P13" s="52" t="s">
        <v>4</v>
      </c>
      <c r="Q13" s="54" t="s">
        <v>3</v>
      </c>
      <c r="T13" t="s">
        <v>37</v>
      </c>
      <c r="U13" t="s">
        <v>38</v>
      </c>
      <c r="V13" t="s">
        <v>3</v>
      </c>
    </row>
    <row r="14" spans="1:22" ht="18" customHeight="1">
      <c r="A14" s="21" t="s">
        <v>39</v>
      </c>
      <c r="H14">
        <v>2</v>
      </c>
      <c r="I14" t="s">
        <v>2</v>
      </c>
      <c r="J14" s="44" t="s">
        <v>40</v>
      </c>
      <c r="K14" t="s">
        <v>3</v>
      </c>
      <c r="P14" s="52" t="s">
        <v>6</v>
      </c>
      <c r="Q14" s="54" t="s">
        <v>41</v>
      </c>
      <c r="T14" t="s">
        <v>42</v>
      </c>
      <c r="U14" t="s">
        <v>38</v>
      </c>
      <c r="V14" t="s">
        <v>3</v>
      </c>
    </row>
    <row r="15" spans="1:22" ht="18" customHeight="1">
      <c r="A15" s="7"/>
      <c r="E15" t="s">
        <v>43</v>
      </c>
      <c r="H15">
        <v>3</v>
      </c>
      <c r="I15" t="s">
        <v>5</v>
      </c>
      <c r="J15" s="44" t="s">
        <v>40</v>
      </c>
      <c r="K15" t="s">
        <v>3</v>
      </c>
    </row>
    <row r="16" spans="1:22" ht="18.600000000000001" customHeight="1" thickBot="1">
      <c r="A16" s="20" t="s">
        <v>44</v>
      </c>
      <c r="E16" s="17" t="s">
        <v>32</v>
      </c>
      <c r="F16" s="12" t="s">
        <v>33</v>
      </c>
      <c r="G16" s="13" t="s">
        <v>34</v>
      </c>
      <c r="I16" t="s">
        <v>7</v>
      </c>
      <c r="J16" s="44" t="s">
        <v>40</v>
      </c>
      <c r="K16" t="s">
        <v>3</v>
      </c>
    </row>
    <row r="17" spans="1:18" ht="18.600000000000001" customHeight="1" thickBot="1">
      <c r="A17" s="7"/>
      <c r="D17" s="29">
        <v>2</v>
      </c>
      <c r="E17" s="40" t="s">
        <v>1</v>
      </c>
      <c r="F17" s="42" t="s">
        <v>40</v>
      </c>
      <c r="G17" s="40" t="s">
        <v>3</v>
      </c>
      <c r="H17" t="s">
        <v>45</v>
      </c>
      <c r="P17" s="31" t="s">
        <v>45</v>
      </c>
      <c r="Q17" t="s">
        <v>0</v>
      </c>
      <c r="R17" t="s">
        <v>46</v>
      </c>
    </row>
    <row r="18" spans="1:18" ht="18" customHeight="1">
      <c r="A18" s="7" t="s">
        <v>47</v>
      </c>
      <c r="D18" t="s">
        <v>4</v>
      </c>
      <c r="E18" t="s">
        <v>3</v>
      </c>
      <c r="F18" s="15" t="s">
        <v>48</v>
      </c>
      <c r="G18" s="14" t="s">
        <v>3</v>
      </c>
      <c r="J18" t="str">
        <f>MID(H15,H18+5,100)</f>
        <v/>
      </c>
      <c r="N18">
        <f>FIND("日",Q13)</f>
        <v>4</v>
      </c>
      <c r="Q18" t="s">
        <v>4</v>
      </c>
      <c r="R18" t="s">
        <v>3</v>
      </c>
    </row>
    <row r="19" spans="1:18" ht="18" customHeight="1">
      <c r="A19" s="7" t="s">
        <v>49</v>
      </c>
      <c r="D19" t="s">
        <v>6</v>
      </c>
      <c r="E19" t="s">
        <v>50</v>
      </c>
      <c r="F19" t="s">
        <v>48</v>
      </c>
      <c r="G19" t="s">
        <v>3</v>
      </c>
      <c r="Q19" t="s">
        <v>6</v>
      </c>
      <c r="R19" t="s">
        <v>51</v>
      </c>
    </row>
    <row r="20" spans="1:18" ht="15.6" customHeight="1">
      <c r="A20" s="7"/>
      <c r="D20" s="35" t="str">
        <f>IF($D$25=1,E20,IF($D$25=2,F20,IF($D$25=3,G20,IF($D$25=4,H20,IF($D$25=5,I20,J20)))))</f>
        <v>藤田 拓也</v>
      </c>
      <c r="E20" s="36" t="str">
        <f>C9</f>
        <v>加茂 直人</v>
      </c>
      <c r="F20" s="40" t="str">
        <f>E17</f>
        <v>藤田 拓也</v>
      </c>
      <c r="G20" s="33" t="str">
        <f>P20</f>
        <v>田中 航</v>
      </c>
      <c r="H20" s="33" t="str">
        <f>Q12</f>
        <v>森本 航成</v>
      </c>
      <c r="I20" s="33" t="str">
        <f>E17</f>
        <v>藤田 拓也</v>
      </c>
      <c r="J20" s="33">
        <f>S20</f>
        <v>0</v>
      </c>
      <c r="K20" s="33">
        <f>T20</f>
        <v>0</v>
      </c>
      <c r="P20" s="33" t="str">
        <f>MID(R17,Q20,R20)</f>
        <v>田中 航</v>
      </c>
      <c r="Q20">
        <v>1</v>
      </c>
      <c r="R20">
        <v>5</v>
      </c>
    </row>
    <row r="21" spans="1:18" ht="15.6" customHeight="1">
      <c r="A21" s="7"/>
      <c r="D21" s="35">
        <f>IF($D$25=1,E21,IF($D$25=2,F21,IF($D$25=3,G21,IF($D$25=4,H21,IF($D$25=5,I21,J21)))))</f>
        <v>2026</v>
      </c>
      <c r="E21" s="36">
        <f>C10</f>
        <v>2026</v>
      </c>
      <c r="F21" s="40">
        <f>LEFT(F17,4)*1</f>
        <v>2026</v>
      </c>
      <c r="G21" s="33">
        <f>P22</f>
        <v>2026</v>
      </c>
      <c r="H21" s="43" t="str">
        <f>LEFT(TEXT(Q14,"YYYY"),4)</f>
        <v>2026</v>
      </c>
      <c r="I21" s="33">
        <f t="shared" ref="I21:K23" si="1">R22</f>
        <v>0</v>
      </c>
      <c r="J21" s="33">
        <f t="shared" si="1"/>
        <v>0</v>
      </c>
      <c r="K21" s="33">
        <f t="shared" si="1"/>
        <v>0</v>
      </c>
      <c r="P21" s="33">
        <f>MID(R18,Q21,R21)*1</f>
        <v>100</v>
      </c>
      <c r="Q21">
        <v>1</v>
      </c>
      <c r="R21">
        <f>FIND("日",R18)-1</f>
        <v>3</v>
      </c>
    </row>
    <row r="22" spans="1:18" ht="15.6" customHeight="1">
      <c r="A22" s="20" t="str">
        <f>"■リモートアクセス利用権限の"&amp;E25&amp;"の場合"</f>
        <v>■リモートアクセス利用権限の新規の場合</v>
      </c>
      <c r="D22" s="35">
        <f>IF($D$25=1,E22,IF($D$25=2,F22,IF($D$25=3,G22,IF($D$25=4,H22,IF($D$25=5,I22,J22)))))</f>
        <v>10</v>
      </c>
      <c r="E22" s="36">
        <f>C11</f>
        <v>1</v>
      </c>
      <c r="F22" s="40">
        <f>MID(F17,FIND("年",F17)+1,FIND("月",F17)-FIND("年",F17)-1)*1</f>
        <v>10</v>
      </c>
      <c r="G22" s="33">
        <f>P23</f>
        <v>4</v>
      </c>
      <c r="H22" s="50" t="str">
        <f>MID(TEXT(Q14,"YYYYMMDD"),6,2)</f>
        <v xml:space="preserve"> 7</v>
      </c>
      <c r="I22" s="33">
        <f t="shared" si="1"/>
        <v>2</v>
      </c>
      <c r="J22" s="33">
        <f t="shared" si="1"/>
        <v>0</v>
      </c>
      <c r="K22" s="33">
        <f t="shared" si="1"/>
        <v>0</v>
      </c>
      <c r="P22" s="33">
        <f>MID(R19,Q22,4)*1</f>
        <v>2026</v>
      </c>
      <c r="Q22">
        <v>1</v>
      </c>
    </row>
    <row r="23" spans="1:18" ht="18" customHeight="1">
      <c r="A23" s="8" t="str">
        <f>IF(D25=2,D29,D30)</f>
        <v>No.74090 dowatec ネットリモート接続設定・利用申請書でいただきましたご利用権限を新規にて発行しております。</v>
      </c>
      <c r="D23" s="35">
        <f>IF($D$25=1,E23,IF($D$25=2,F23,IF($D$25=3,G23,IF($D$25=4,H23,IF($D$25=5,I23,J23)))))</f>
        <v>24</v>
      </c>
      <c r="E23" s="36">
        <f>C12</f>
        <v>18</v>
      </c>
      <c r="F23" s="40">
        <f>MID(F17,FIND("月",F17)+1,FIND("日",F17)-FIND("月",F17)-1)*1</f>
        <v>24</v>
      </c>
      <c r="G23" s="33">
        <f>P24</f>
        <v>25</v>
      </c>
      <c r="H23" s="50" t="str">
        <f>MID(TEXT(Q14,"YYYYMMDD"),9,2)</f>
        <v>26</v>
      </c>
      <c r="I23" s="33">
        <f t="shared" si="1"/>
        <v>2</v>
      </c>
      <c r="J23" s="33">
        <f t="shared" si="1"/>
        <v>0</v>
      </c>
      <c r="K23" s="33">
        <f t="shared" si="1"/>
        <v>0</v>
      </c>
      <c r="P23" s="33">
        <f>MID(R19,Q23,R23)*1</f>
        <v>4</v>
      </c>
      <c r="Q23">
        <v>6</v>
      </c>
      <c r="R23">
        <v>2</v>
      </c>
    </row>
    <row r="24" spans="1:18" ht="18" customHeight="1">
      <c r="A24" s="7" t="str">
        <f ca="1">D36</f>
        <v>ご利用期間2026年07月16日(木曜日)から2026年10月24日(土曜日)までです</v>
      </c>
      <c r="B24" s="20"/>
      <c r="D24" s="35">
        <f>IF($D$25=1,E24,IF($D$25=2,F24,IF($D$25=3,G24,IF($D$25=4,H24,IF($D$25=5,I24,J24)))))</f>
        <v>100</v>
      </c>
      <c r="E24" s="36">
        <f>C13</f>
        <v>100</v>
      </c>
      <c r="F24" s="40">
        <f>MID(G17,1,FIND("日",G17)-1)*1</f>
        <v>100</v>
      </c>
      <c r="G24" s="33">
        <f>P21</f>
        <v>100</v>
      </c>
      <c r="H24" s="33">
        <f>LEFT(Q13,FIND("日",Q13)-1)*1</f>
        <v>100</v>
      </c>
      <c r="I24" s="33">
        <f>R21</f>
        <v>3</v>
      </c>
      <c r="J24" s="33">
        <f>S21</f>
        <v>0</v>
      </c>
      <c r="K24" s="33">
        <f>T21</f>
        <v>0</v>
      </c>
      <c r="P24" s="33">
        <f>MID(R19,Q24,R24)*1</f>
        <v>25</v>
      </c>
      <c r="Q24">
        <v>9</v>
      </c>
      <c r="R24">
        <v>2</v>
      </c>
    </row>
    <row r="25" spans="1:18" ht="18.600000000000001" customHeight="1" thickBot="1">
      <c r="A25" s="7" t="s">
        <v>52</v>
      </c>
      <c r="C25" s="20"/>
      <c r="D25" s="25">
        <v>2</v>
      </c>
      <c r="E25" t="str">
        <f>IF(D25=1,"新規1",IF(D25=2,"新規",IF(D25=3,"延長","その他")))</f>
        <v>新規</v>
      </c>
      <c r="F25" s="3" t="s">
        <v>53</v>
      </c>
      <c r="G25" s="41" t="s">
        <v>54</v>
      </c>
      <c r="H25" s="41" t="s">
        <v>55</v>
      </c>
    </row>
    <row r="26" spans="1:18">
      <c r="A26" t="s">
        <v>56</v>
      </c>
      <c r="D26" t="str">
        <f>TEXT((D21&amp;"/"&amp;D22&amp;"/"&amp;D23)*1,"aaa")</f>
        <v>土</v>
      </c>
      <c r="E26" t="s">
        <v>57</v>
      </c>
      <c r="F26" t="s">
        <v>58</v>
      </c>
      <c r="Q26" t="s">
        <v>59</v>
      </c>
      <c r="R26" t="s">
        <v>3</v>
      </c>
    </row>
    <row r="27" spans="1:18" ht="18.600000000000001" customHeight="1" thickBot="1">
      <c r="A27" s="7" t="str">
        <f>"※"&amp;D20&amp;"様のスケジュールの方にリモートアクセス最終日ご利用日["&amp;"ご利用期限："&amp;D21&amp;"年"&amp;D22&amp;"月"&amp;D23&amp;"日"&amp;"]登録をさせていただきました。"</f>
        <v>※藤田 拓也様のスケジュールの方にリモートアクセス最終日ご利用日[ご利用期限：2026年10月24日]登録をさせていただきました。</v>
      </c>
      <c r="G27" t="s">
        <v>60</v>
      </c>
      <c r="H27" s="44" t="s">
        <v>41</v>
      </c>
      <c r="I27" t="s">
        <v>3</v>
      </c>
    </row>
    <row r="28" spans="1:18" ht="18.600000000000001" customHeight="1" thickBot="1">
      <c r="A28" s="7" t="s">
        <v>61</v>
      </c>
      <c r="B28" s="8"/>
      <c r="D28" s="9">
        <v>7</v>
      </c>
      <c r="E28" s="9">
        <v>4</v>
      </c>
      <c r="F28" s="22">
        <v>90</v>
      </c>
    </row>
    <row r="29" spans="1:18" ht="18" customHeight="1">
      <c r="A29" s="7" t="s">
        <v>62</v>
      </c>
      <c r="B29" s="7"/>
      <c r="C29" s="8"/>
      <c r="D29" s="8" t="str">
        <f>"No."&amp;IF(F28&lt;100,D28&amp;E28&amp;TEXT(F28,"000"),D28&amp;E28&amp;F28)*1&amp;" dowatec ネットリモート接続設定・利用申請書でいただきましたご利用権限を"&amp;E25&amp;"にて発行しております。"</f>
        <v>No.74090 dowatec ネットリモート接続設定・利用申請書でいただきましたご利用権限を新規にて発行しております。</v>
      </c>
    </row>
    <row r="30" spans="1:18" ht="18" customHeight="1">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No.74090 dowatec ネットリモート接続設定・利用申請いただきましたご利用権限を新規にて発行しております。※延長利用の場合はワークフローにて申請お願いします。</v>
      </c>
      <c r="M30" t="s">
        <v>63</v>
      </c>
      <c r="N30" t="s">
        <v>64</v>
      </c>
      <c r="P30" t="s">
        <v>65</v>
      </c>
      <c r="Q30" t="s">
        <v>66</v>
      </c>
      <c r="R30" t="s">
        <v>3</v>
      </c>
    </row>
    <row r="31" spans="1:18" ht="18" customHeight="1">
      <c r="A31" s="7" t="s">
        <v>67</v>
      </c>
      <c r="C31" s="7"/>
      <c r="M31" s="1"/>
      <c r="N31" s="10"/>
    </row>
    <row r="32" spans="1:18" ht="18" customHeight="1">
      <c r="A32" s="7"/>
      <c r="B32" s="7"/>
      <c r="D32" t="s">
        <v>68</v>
      </c>
    </row>
    <row r="33" spans="1:18" ht="18" customHeight="1">
      <c r="A33" s="20" t="s">
        <v>69</v>
      </c>
      <c r="B33" s="7"/>
      <c r="C33" s="7"/>
      <c r="D33" t="str">
        <f>"■申請番号No."&amp;IF(F28&lt;100,D28&amp;E28&amp;TEXT(F28,"000"),D28&amp;E28&amp;F28)*1&amp;"のリモート接続設定ご利用最終日です。※延長希望の場合は申請お願いします。"</f>
        <v>■申請番号No.74090のリモート接続設定ご利用最終日です。※延長希望の場合は申請お願いします。</v>
      </c>
    </row>
    <row r="34" spans="1:18" ht="18" customHeight="1">
      <c r="A34" s="51" t="s">
        <v>70</v>
      </c>
      <c r="B34" s="7"/>
      <c r="C34" s="7"/>
      <c r="D34" t="s">
        <v>71</v>
      </c>
      <c r="R34" s="18"/>
    </row>
    <row r="35" spans="1:18" ht="18" customHeight="1">
      <c r="A35" s="51"/>
      <c r="C35" s="7"/>
      <c r="D35" t="str">
        <f>"■申請番号No."&amp;IF(F28&lt;100,D28&amp;E28&amp;TEXT(F28,"000"),D28&amp;E28&amp;F28)*1&amp;"のリモート接続ワークフローでの申請の"</f>
        <v>■申請番号No.74090のリモート接続ワークフローでの申請の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ご利用期間2026年07月16日(木曜日)から2026年10月24日(土曜日)までです</v>
      </c>
    </row>
    <row r="37" spans="1:18">
      <c r="A37" s="51"/>
    </row>
    <row r="39" spans="1:18">
      <c r="A39" t="s">
        <v>72</v>
      </c>
      <c r="D39" s="35" t="str">
        <f>MID(D20,1,FIND(" ",D20)-1)&amp;"　"&amp;MID(D20,FIND(" ",D20)+1,100)</f>
        <v>藤田　拓也</v>
      </c>
    </row>
    <row r="41" spans="1:18">
      <c r="A41" t="str">
        <f>D20&amp;"様"</f>
        <v>藤田 拓也様</v>
      </c>
    </row>
    <row r="43" spans="1:18">
      <c r="A43" t="s">
        <v>36</v>
      </c>
    </row>
    <row r="44" spans="1:18">
      <c r="A44" t="s">
        <v>73</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以下に、藤田 拓也様のBeatAccess IDをお送りいたします。</v>
      </c>
    </row>
    <row r="48" spans="1:18">
      <c r="A48" t="str">
        <f>"BeatAccess ID: "&amp;VLOOKUP(D39,社員名!$A$4:$G$650,3,FALSE)</f>
        <v>BeatAccess ID: takuya_fujita</v>
      </c>
    </row>
    <row r="49" spans="1:8">
      <c r="A49" t="str">
        <f>"BeatAccess PASS: "&amp;VLOOKUP(D39,社員名!$A$4:$G$650,6,FALSE)</f>
        <v>BeatAccess PASS: 7YafzkHZ</v>
      </c>
    </row>
    <row r="51" spans="1:8">
      <c r="A51" t="s">
        <v>74</v>
      </c>
    </row>
    <row r="52" spans="1:8">
      <c r="A52" t="s">
        <v>75</v>
      </c>
    </row>
    <row r="54" spans="1:8">
      <c r="A54" t="s">
        <v>62</v>
      </c>
    </row>
    <row r="60" spans="1:8">
      <c r="A60" t="s">
        <v>76</v>
      </c>
    </row>
    <row r="61" spans="1:8">
      <c r="F61">
        <f>G57</f>
        <v>0</v>
      </c>
      <c r="G61">
        <f>G59</f>
        <v>0</v>
      </c>
      <c r="H61">
        <f>G58</f>
        <v>0</v>
      </c>
    </row>
    <row r="62" spans="1:8">
      <c r="A62" t="str">
        <f>D20&amp;"様"</f>
        <v>藤田 拓也様</v>
      </c>
    </row>
    <row r="64" spans="1:8">
      <c r="A64" t="s">
        <v>36</v>
      </c>
    </row>
    <row r="65" spans="1:1">
      <c r="A65" t="s">
        <v>77</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7YafzkHZ</v>
      </c>
    </row>
    <row r="71" spans="1:1">
      <c r="A71" t="s">
        <v>78</v>
      </c>
    </row>
    <row r="72" spans="1:1">
      <c r="A72" t="s">
        <v>75</v>
      </c>
    </row>
    <row r="74" spans="1:1">
      <c r="A74" t="s">
        <v>62</v>
      </c>
    </row>
  </sheetData>
  <phoneticPr fontId="6"/>
  <hyperlinks>
    <hyperlink ref="A34" r:id="rId1" xr:uid="{00000000-0004-0000-0100-000000000000}"/>
  </hyperlinks>
  <pageMargins left="0.7" right="0.7" top="0.75" bottom="0.75" header="0.3" footer="0.3"/>
  <pageSetup paperSize="9" scale="25"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91"/>
  <sheetViews>
    <sheetView topLeftCell="A52" workbookViewId="0">
      <selection activeCell="F57" sqref="F57"/>
    </sheetView>
  </sheetViews>
  <sheetFormatPr defaultRowHeight="16.8"/>
  <cols>
    <col min="1" max="1" width="18" style="77" bestFit="1" customWidth="1"/>
    <col min="3" max="3" width="17" style="77" bestFit="1" customWidth="1"/>
    <col min="4" max="4" width="11.5" style="77" bestFit="1" customWidth="1"/>
    <col min="5" max="5" width="16.19921875" style="77" bestFit="1" customWidth="1"/>
    <col min="6" max="6" width="12.59765625" style="77" bestFit="1" customWidth="1"/>
    <col min="7" max="7" width="32.69921875" style="77" bestFit="1" customWidth="1"/>
    <col min="8" max="8" width="20.59765625" style="77" bestFit="1" customWidth="1"/>
    <col min="9" max="9" width="7.5" style="77" bestFit="1" customWidth="1"/>
  </cols>
  <sheetData>
    <row r="1" spans="1:8">
      <c r="A1" s="1" t="s">
        <v>79</v>
      </c>
      <c r="C1" s="1">
        <v>45845</v>
      </c>
      <c r="D1" t="s">
        <v>79</v>
      </c>
      <c r="H1" t="s">
        <v>80</v>
      </c>
    </row>
    <row r="2" spans="1:8">
      <c r="C2" t="s">
        <v>81</v>
      </c>
    </row>
    <row r="3" spans="1:8">
      <c r="A3" t="s">
        <v>32</v>
      </c>
      <c r="B3" t="s">
        <v>82</v>
      </c>
      <c r="C3" t="s">
        <v>83</v>
      </c>
      <c r="D3" t="s">
        <v>32</v>
      </c>
      <c r="E3" t="s">
        <v>84</v>
      </c>
      <c r="F3" t="s">
        <v>85</v>
      </c>
      <c r="G3" t="s">
        <v>86</v>
      </c>
      <c r="H3" t="s">
        <v>87</v>
      </c>
    </row>
    <row r="4" spans="1:8">
      <c r="A4" t="s">
        <v>88</v>
      </c>
      <c r="B4">
        <v>1</v>
      </c>
      <c r="C4" t="s">
        <v>89</v>
      </c>
      <c r="D4" t="s">
        <v>88</v>
      </c>
      <c r="E4" t="s">
        <v>90</v>
      </c>
      <c r="F4">
        <v>114741</v>
      </c>
      <c r="G4" t="s">
        <v>91</v>
      </c>
    </row>
    <row r="5" spans="1:8">
      <c r="A5" t="s">
        <v>92</v>
      </c>
      <c r="B5">
        <v>2</v>
      </c>
      <c r="C5" t="s">
        <v>93</v>
      </c>
      <c r="D5" t="s">
        <v>92</v>
      </c>
      <c r="E5" t="s">
        <v>94</v>
      </c>
      <c r="F5">
        <v>283878</v>
      </c>
      <c r="G5" t="s">
        <v>95</v>
      </c>
      <c r="H5" t="s">
        <v>96</v>
      </c>
    </row>
    <row r="6" spans="1:8">
      <c r="A6" t="s">
        <v>97</v>
      </c>
      <c r="B6">
        <v>3</v>
      </c>
      <c r="C6" t="s">
        <v>98</v>
      </c>
      <c r="D6" t="s">
        <v>97</v>
      </c>
      <c r="E6" t="s">
        <v>99</v>
      </c>
      <c r="F6">
        <v>717136</v>
      </c>
      <c r="G6" t="s">
        <v>100</v>
      </c>
      <c r="H6" t="s">
        <v>101</v>
      </c>
    </row>
    <row r="7" spans="1:8">
      <c r="A7" t="s">
        <v>102</v>
      </c>
      <c r="B7">
        <v>4</v>
      </c>
      <c r="C7" t="s">
        <v>103</v>
      </c>
      <c r="D7" t="s">
        <v>102</v>
      </c>
      <c r="E7" t="s">
        <v>104</v>
      </c>
      <c r="F7" t="s">
        <v>105</v>
      </c>
      <c r="G7" t="s">
        <v>106</v>
      </c>
    </row>
    <row r="8" spans="1:8">
      <c r="A8" t="s">
        <v>107</v>
      </c>
      <c r="B8">
        <v>5</v>
      </c>
      <c r="C8" t="s">
        <v>108</v>
      </c>
      <c r="D8" t="s">
        <v>107</v>
      </c>
      <c r="E8" t="s">
        <v>109</v>
      </c>
      <c r="F8" t="s">
        <v>110</v>
      </c>
      <c r="G8" t="s">
        <v>111</v>
      </c>
    </row>
    <row r="9" spans="1:8">
      <c r="A9" t="s">
        <v>112</v>
      </c>
      <c r="B9">
        <v>6</v>
      </c>
      <c r="C9" t="s">
        <v>113</v>
      </c>
      <c r="D9" t="s">
        <v>112</v>
      </c>
      <c r="E9" t="s">
        <v>114</v>
      </c>
      <c r="F9" t="s">
        <v>115</v>
      </c>
      <c r="G9" t="s">
        <v>116</v>
      </c>
    </row>
    <row r="10" spans="1:8">
      <c r="A10" t="s">
        <v>117</v>
      </c>
      <c r="B10">
        <v>7</v>
      </c>
      <c r="C10" t="s">
        <v>118</v>
      </c>
      <c r="D10" t="s">
        <v>117</v>
      </c>
      <c r="E10" t="s">
        <v>119</v>
      </c>
      <c r="F10" t="s">
        <v>120</v>
      </c>
      <c r="G10" t="s">
        <v>121</v>
      </c>
    </row>
    <row r="11" spans="1:8">
      <c r="A11" t="s">
        <v>122</v>
      </c>
      <c r="B11">
        <v>8</v>
      </c>
      <c r="C11" t="s">
        <v>123</v>
      </c>
      <c r="D11" t="s">
        <v>122</v>
      </c>
      <c r="E11" t="s">
        <v>124</v>
      </c>
      <c r="F11" t="s">
        <v>125</v>
      </c>
      <c r="G11" t="s">
        <v>126</v>
      </c>
    </row>
    <row r="12" spans="1:8">
      <c r="A12" t="s">
        <v>127</v>
      </c>
      <c r="B12">
        <v>9</v>
      </c>
      <c r="C12" t="s">
        <v>128</v>
      </c>
      <c r="D12" t="s">
        <v>127</v>
      </c>
      <c r="E12" t="s">
        <v>129</v>
      </c>
      <c r="F12" t="s">
        <v>130</v>
      </c>
      <c r="G12" t="s">
        <v>131</v>
      </c>
    </row>
    <row r="13" spans="1:8">
      <c r="A13" t="s">
        <v>132</v>
      </c>
      <c r="B13">
        <v>10</v>
      </c>
      <c r="C13" t="s">
        <v>133</v>
      </c>
      <c r="D13" t="s">
        <v>132</v>
      </c>
      <c r="E13" t="s">
        <v>134</v>
      </c>
      <c r="F13">
        <v>211590</v>
      </c>
      <c r="G13" t="s">
        <v>135</v>
      </c>
    </row>
    <row r="14" spans="1:8">
      <c r="A14" t="s">
        <v>136</v>
      </c>
      <c r="B14">
        <v>11</v>
      </c>
      <c r="C14" t="s">
        <v>137</v>
      </c>
      <c r="D14" t="s">
        <v>136</v>
      </c>
      <c r="E14" t="s">
        <v>138</v>
      </c>
      <c r="F14" t="s">
        <v>139</v>
      </c>
      <c r="G14" t="s">
        <v>140</v>
      </c>
    </row>
    <row r="15" spans="1:8">
      <c r="A15" t="s">
        <v>141</v>
      </c>
      <c r="B15">
        <v>12</v>
      </c>
      <c r="C15" t="s">
        <v>142</v>
      </c>
      <c r="D15" t="s">
        <v>141</v>
      </c>
      <c r="E15" t="s">
        <v>143</v>
      </c>
      <c r="F15" t="s">
        <v>144</v>
      </c>
      <c r="G15" t="s">
        <v>145</v>
      </c>
      <c r="H15" t="s">
        <v>146</v>
      </c>
    </row>
    <row r="16" spans="1:8">
      <c r="A16" t="s">
        <v>147</v>
      </c>
      <c r="B16">
        <v>13</v>
      </c>
      <c r="C16" t="s">
        <v>148</v>
      </c>
      <c r="D16" t="s">
        <v>147</v>
      </c>
      <c r="E16" t="s">
        <v>149</v>
      </c>
      <c r="F16" t="s">
        <v>150</v>
      </c>
      <c r="G16" t="s">
        <v>151</v>
      </c>
    </row>
    <row r="17" spans="1:8">
      <c r="A17" t="s">
        <v>152</v>
      </c>
      <c r="B17">
        <v>14</v>
      </c>
      <c r="C17" t="s">
        <v>153</v>
      </c>
      <c r="D17" t="s">
        <v>152</v>
      </c>
      <c r="E17" t="s">
        <v>154</v>
      </c>
      <c r="F17" t="s">
        <v>155</v>
      </c>
      <c r="G17" t="s">
        <v>156</v>
      </c>
    </row>
    <row r="18" spans="1:8">
      <c r="A18" t="s">
        <v>157</v>
      </c>
      <c r="B18">
        <v>15</v>
      </c>
      <c r="C18" t="s">
        <v>158</v>
      </c>
      <c r="D18" t="s">
        <v>157</v>
      </c>
      <c r="E18" t="s">
        <v>159</v>
      </c>
      <c r="F18" t="s">
        <v>160</v>
      </c>
      <c r="G18" t="s">
        <v>161</v>
      </c>
    </row>
    <row r="19" spans="1:8">
      <c r="A19" t="s">
        <v>162</v>
      </c>
      <c r="B19">
        <v>16</v>
      </c>
      <c r="C19" t="s">
        <v>163</v>
      </c>
      <c r="D19" t="s">
        <v>162</v>
      </c>
      <c r="E19" t="s">
        <v>164</v>
      </c>
      <c r="F19">
        <v>343229</v>
      </c>
      <c r="G19" t="s">
        <v>165</v>
      </c>
    </row>
    <row r="20" spans="1:8">
      <c r="A20" t="s">
        <v>166</v>
      </c>
      <c r="B20">
        <v>17</v>
      </c>
      <c r="C20" t="s">
        <v>167</v>
      </c>
      <c r="D20" t="s">
        <v>166</v>
      </c>
      <c r="E20" t="s">
        <v>168</v>
      </c>
      <c r="F20" t="s">
        <v>169</v>
      </c>
      <c r="G20" t="s">
        <v>170</v>
      </c>
    </row>
    <row r="21" spans="1:8">
      <c r="A21" t="s">
        <v>171</v>
      </c>
      <c r="B21">
        <v>18</v>
      </c>
      <c r="C21" t="s">
        <v>172</v>
      </c>
      <c r="D21" t="s">
        <v>171</v>
      </c>
      <c r="E21" t="s">
        <v>173</v>
      </c>
      <c r="F21" t="s">
        <v>174</v>
      </c>
      <c r="G21" t="s">
        <v>175</v>
      </c>
    </row>
    <row r="22" spans="1:8">
      <c r="A22" t="s">
        <v>176</v>
      </c>
      <c r="B22">
        <v>19</v>
      </c>
      <c r="C22" t="s">
        <v>177</v>
      </c>
      <c r="D22" t="s">
        <v>176</v>
      </c>
      <c r="E22" t="s">
        <v>178</v>
      </c>
      <c r="F22" t="s">
        <v>179</v>
      </c>
      <c r="G22" t="s">
        <v>180</v>
      </c>
    </row>
    <row r="23" spans="1:8">
      <c r="A23" t="s">
        <v>181</v>
      </c>
      <c r="B23">
        <v>20</v>
      </c>
      <c r="C23" t="s">
        <v>182</v>
      </c>
      <c r="D23" t="s">
        <v>181</v>
      </c>
      <c r="E23" t="s">
        <v>183</v>
      </c>
      <c r="F23" t="s">
        <v>184</v>
      </c>
      <c r="G23" t="s">
        <v>185</v>
      </c>
    </row>
    <row r="24" spans="1:8">
      <c r="A24" t="s">
        <v>186</v>
      </c>
      <c r="B24">
        <v>21</v>
      </c>
      <c r="C24" t="s">
        <v>187</v>
      </c>
      <c r="D24" t="s">
        <v>186</v>
      </c>
      <c r="E24" t="s">
        <v>188</v>
      </c>
      <c r="F24" t="s">
        <v>189</v>
      </c>
      <c r="G24" t="s">
        <v>190</v>
      </c>
    </row>
    <row r="25" spans="1:8">
      <c r="A25" t="s">
        <v>191</v>
      </c>
      <c r="B25">
        <v>22</v>
      </c>
      <c r="C25" t="s">
        <v>192</v>
      </c>
      <c r="D25" t="s">
        <v>191</v>
      </c>
      <c r="E25" t="s">
        <v>193</v>
      </c>
      <c r="F25" t="s">
        <v>194</v>
      </c>
      <c r="G25" t="s">
        <v>195</v>
      </c>
    </row>
    <row r="26" spans="1:8">
      <c r="A26" t="s">
        <v>196</v>
      </c>
      <c r="B26">
        <v>23</v>
      </c>
      <c r="C26" t="s">
        <v>197</v>
      </c>
      <c r="D26" t="s">
        <v>196</v>
      </c>
      <c r="E26" t="s">
        <v>198</v>
      </c>
      <c r="G26" t="s">
        <v>199</v>
      </c>
      <c r="H26" t="s">
        <v>200</v>
      </c>
    </row>
    <row r="27" spans="1:8">
      <c r="A27" t="s">
        <v>201</v>
      </c>
      <c r="B27">
        <v>24</v>
      </c>
      <c r="C27" t="s">
        <v>202</v>
      </c>
      <c r="D27" t="s">
        <v>201</v>
      </c>
      <c r="E27" t="s">
        <v>203</v>
      </c>
      <c r="F27" t="s">
        <v>204</v>
      </c>
      <c r="G27" t="s">
        <v>205</v>
      </c>
    </row>
    <row r="28" spans="1:8">
      <c r="A28" t="s">
        <v>206</v>
      </c>
      <c r="B28">
        <v>25</v>
      </c>
      <c r="C28" t="s">
        <v>207</v>
      </c>
      <c r="D28" t="s">
        <v>206</v>
      </c>
      <c r="E28" t="s">
        <v>208</v>
      </c>
      <c r="F28">
        <v>156313</v>
      </c>
      <c r="G28" t="s">
        <v>209</v>
      </c>
    </row>
    <row r="29" spans="1:8">
      <c r="A29" t="s">
        <v>210</v>
      </c>
      <c r="B29">
        <v>26</v>
      </c>
      <c r="C29" t="s">
        <v>211</v>
      </c>
      <c r="D29" t="s">
        <v>210</v>
      </c>
      <c r="E29" t="s">
        <v>212</v>
      </c>
      <c r="F29" t="s">
        <v>213</v>
      </c>
      <c r="G29" t="s">
        <v>214</v>
      </c>
    </row>
    <row r="30" spans="1:8">
      <c r="A30" t="s">
        <v>215</v>
      </c>
      <c r="B30">
        <v>27</v>
      </c>
      <c r="C30" t="s">
        <v>216</v>
      </c>
      <c r="D30" t="s">
        <v>215</v>
      </c>
      <c r="E30" t="s">
        <v>217</v>
      </c>
      <c r="F30" t="s">
        <v>218</v>
      </c>
      <c r="G30" t="s">
        <v>219</v>
      </c>
    </row>
    <row r="31" spans="1:8">
      <c r="A31" t="s">
        <v>220</v>
      </c>
      <c r="B31">
        <v>28</v>
      </c>
      <c r="C31" t="s">
        <v>221</v>
      </c>
      <c r="D31" t="s">
        <v>220</v>
      </c>
      <c r="E31" t="s">
        <v>222</v>
      </c>
      <c r="F31" t="s">
        <v>223</v>
      </c>
      <c r="G31" t="s">
        <v>224</v>
      </c>
    </row>
    <row r="32" spans="1:8">
      <c r="A32" t="s">
        <v>225</v>
      </c>
      <c r="B32">
        <v>29</v>
      </c>
      <c r="C32" t="s">
        <v>226</v>
      </c>
      <c r="D32" t="s">
        <v>225</v>
      </c>
      <c r="E32" t="s">
        <v>227</v>
      </c>
      <c r="F32" t="s">
        <v>228</v>
      </c>
      <c r="G32" t="s">
        <v>229</v>
      </c>
    </row>
    <row r="33" spans="1:9">
      <c r="A33" t="s">
        <v>230</v>
      </c>
      <c r="B33">
        <v>30</v>
      </c>
      <c r="C33" t="s">
        <v>231</v>
      </c>
      <c r="D33" t="s">
        <v>230</v>
      </c>
      <c r="E33" t="s">
        <v>232</v>
      </c>
      <c r="F33" t="s">
        <v>233</v>
      </c>
      <c r="G33" t="s">
        <v>234</v>
      </c>
    </row>
    <row r="34" spans="1:9">
      <c r="A34" t="s">
        <v>235</v>
      </c>
      <c r="B34">
        <v>31</v>
      </c>
      <c r="C34" t="s">
        <v>236</v>
      </c>
      <c r="D34" t="s">
        <v>235</v>
      </c>
      <c r="E34" t="s">
        <v>237</v>
      </c>
      <c r="F34" t="s">
        <v>238</v>
      </c>
      <c r="G34" t="s">
        <v>239</v>
      </c>
    </row>
    <row r="35" spans="1:9">
      <c r="A35" t="s">
        <v>240</v>
      </c>
      <c r="B35">
        <v>32</v>
      </c>
      <c r="C35" t="s">
        <v>241</v>
      </c>
      <c r="D35" t="s">
        <v>240</v>
      </c>
      <c r="E35" t="s">
        <v>242</v>
      </c>
      <c r="F35" t="s">
        <v>243</v>
      </c>
      <c r="G35" t="s">
        <v>244</v>
      </c>
      <c r="H35" t="s">
        <v>245</v>
      </c>
    </row>
    <row r="36" spans="1:9">
      <c r="A36" t="s">
        <v>246</v>
      </c>
      <c r="B36">
        <v>33</v>
      </c>
      <c r="C36" t="s">
        <v>247</v>
      </c>
      <c r="D36" t="s">
        <v>246</v>
      </c>
      <c r="E36" t="s">
        <v>248</v>
      </c>
      <c r="F36" t="s">
        <v>249</v>
      </c>
      <c r="G36" t="s">
        <v>250</v>
      </c>
    </row>
    <row r="37" spans="1:9">
      <c r="A37" t="s">
        <v>251</v>
      </c>
      <c r="B37">
        <v>34</v>
      </c>
      <c r="C37" t="s">
        <v>252</v>
      </c>
      <c r="D37" t="s">
        <v>251</v>
      </c>
      <c r="E37" t="s">
        <v>253</v>
      </c>
      <c r="F37" t="s">
        <v>254</v>
      </c>
      <c r="G37" t="s">
        <v>255</v>
      </c>
    </row>
    <row r="38" spans="1:9">
      <c r="A38" t="s">
        <v>256</v>
      </c>
      <c r="B38">
        <v>35</v>
      </c>
      <c r="C38" t="s">
        <v>257</v>
      </c>
      <c r="D38" t="s">
        <v>256</v>
      </c>
      <c r="E38" t="s">
        <v>258</v>
      </c>
      <c r="F38" t="s">
        <v>259</v>
      </c>
      <c r="G38" t="s">
        <v>260</v>
      </c>
    </row>
    <row r="39" spans="1:9">
      <c r="A39" t="s">
        <v>261</v>
      </c>
      <c r="B39">
        <v>36</v>
      </c>
      <c r="C39" t="s">
        <v>262</v>
      </c>
      <c r="D39" t="s">
        <v>261</v>
      </c>
      <c r="E39" t="s">
        <v>263</v>
      </c>
      <c r="F39">
        <v>351104</v>
      </c>
      <c r="G39" t="s">
        <v>264</v>
      </c>
    </row>
    <row r="40" spans="1:9">
      <c r="A40" t="s">
        <v>265</v>
      </c>
      <c r="B40">
        <v>37</v>
      </c>
      <c r="C40" t="s">
        <v>266</v>
      </c>
      <c r="D40" t="s">
        <v>265</v>
      </c>
      <c r="E40" t="s">
        <v>267</v>
      </c>
      <c r="F40" t="s">
        <v>268</v>
      </c>
      <c r="G40" t="s">
        <v>269</v>
      </c>
      <c r="H40" s="1">
        <v>45484</v>
      </c>
    </row>
    <row r="41" spans="1:9">
      <c r="A41" t="s">
        <v>270</v>
      </c>
      <c r="B41">
        <v>38</v>
      </c>
      <c r="C41" t="s">
        <v>271</v>
      </c>
      <c r="D41" t="s">
        <v>270</v>
      </c>
      <c r="E41" t="s">
        <v>272</v>
      </c>
      <c r="F41" t="s">
        <v>273</v>
      </c>
      <c r="G41" t="s">
        <v>274</v>
      </c>
    </row>
    <row r="42" spans="1:9">
      <c r="A42" t="s">
        <v>275</v>
      </c>
      <c r="B42">
        <v>39</v>
      </c>
      <c r="C42" t="s">
        <v>276</v>
      </c>
      <c r="D42" t="s">
        <v>275</v>
      </c>
      <c r="E42" t="s">
        <v>277</v>
      </c>
      <c r="F42" t="s">
        <v>278</v>
      </c>
      <c r="G42" t="s">
        <v>279</v>
      </c>
    </row>
    <row r="43" spans="1:9">
      <c r="A43" t="s">
        <v>280</v>
      </c>
      <c r="B43">
        <v>40</v>
      </c>
      <c r="C43" t="s">
        <v>281</v>
      </c>
      <c r="D43" t="s">
        <v>280</v>
      </c>
      <c r="E43" t="s">
        <v>282</v>
      </c>
      <c r="F43" t="s">
        <v>283</v>
      </c>
      <c r="G43" t="s">
        <v>284</v>
      </c>
      <c r="I43">
        <v>337990</v>
      </c>
    </row>
    <row r="44" spans="1:9">
      <c r="A44" t="s">
        <v>285</v>
      </c>
      <c r="B44">
        <v>41</v>
      </c>
      <c r="C44" t="s">
        <v>286</v>
      </c>
      <c r="D44" t="s">
        <v>285</v>
      </c>
      <c r="E44" t="s">
        <v>287</v>
      </c>
      <c r="F44" t="s">
        <v>288</v>
      </c>
      <c r="G44" t="s">
        <v>289</v>
      </c>
      <c r="H44" t="s">
        <v>290</v>
      </c>
    </row>
    <row r="45" spans="1:9">
      <c r="A45" t="s">
        <v>291</v>
      </c>
      <c r="B45">
        <v>42</v>
      </c>
      <c r="C45" t="s">
        <v>292</v>
      </c>
      <c r="D45" t="s">
        <v>291</v>
      </c>
      <c r="E45" t="s">
        <v>293</v>
      </c>
      <c r="F45">
        <v>194414</v>
      </c>
      <c r="G45" t="s">
        <v>294</v>
      </c>
    </row>
    <row r="46" spans="1:9">
      <c r="A46" t="s">
        <v>295</v>
      </c>
      <c r="B46">
        <v>43</v>
      </c>
      <c r="C46" t="s">
        <v>296</v>
      </c>
      <c r="D46" t="s">
        <v>295</v>
      </c>
      <c r="E46" t="s">
        <v>297</v>
      </c>
      <c r="F46" t="s">
        <v>298</v>
      </c>
      <c r="G46" t="s">
        <v>299</v>
      </c>
    </row>
    <row r="47" spans="1:9">
      <c r="A47" t="s">
        <v>300</v>
      </c>
      <c r="B47">
        <v>44</v>
      </c>
      <c r="C47" t="s">
        <v>301</v>
      </c>
      <c r="D47" t="s">
        <v>300</v>
      </c>
      <c r="E47" t="s">
        <v>302</v>
      </c>
      <c r="F47" t="s">
        <v>303</v>
      </c>
      <c r="G47" t="s">
        <v>304</v>
      </c>
    </row>
    <row r="48" spans="1:9">
      <c r="A48" t="s">
        <v>305</v>
      </c>
      <c r="B48">
        <v>45</v>
      </c>
      <c r="C48" t="s">
        <v>306</v>
      </c>
      <c r="D48" t="s">
        <v>305</v>
      </c>
      <c r="E48" t="s">
        <v>307</v>
      </c>
      <c r="F48" t="s">
        <v>308</v>
      </c>
      <c r="G48" t="s">
        <v>309</v>
      </c>
      <c r="H48" t="s">
        <v>200</v>
      </c>
    </row>
    <row r="49" spans="1:8">
      <c r="A49" t="s">
        <v>310</v>
      </c>
      <c r="B49">
        <v>46</v>
      </c>
      <c r="C49" t="s">
        <v>311</v>
      </c>
      <c r="D49" t="s">
        <v>310</v>
      </c>
      <c r="E49" t="s">
        <v>312</v>
      </c>
      <c r="F49">
        <v>325316</v>
      </c>
      <c r="G49" t="s">
        <v>313</v>
      </c>
    </row>
    <row r="50" spans="1:8">
      <c r="A50" t="s">
        <v>314</v>
      </c>
      <c r="B50">
        <v>47</v>
      </c>
      <c r="C50" t="s">
        <v>311</v>
      </c>
      <c r="D50" t="s">
        <v>314</v>
      </c>
      <c r="E50" t="s">
        <v>312</v>
      </c>
      <c r="G50" t="s">
        <v>313</v>
      </c>
      <c r="H50" t="s">
        <v>200</v>
      </c>
    </row>
    <row r="51" spans="1:8">
      <c r="A51" t="s">
        <v>315</v>
      </c>
      <c r="B51">
        <v>48</v>
      </c>
      <c r="C51" t="s">
        <v>316</v>
      </c>
      <c r="D51" t="s">
        <v>315</v>
      </c>
      <c r="E51" t="s">
        <v>317</v>
      </c>
      <c r="F51" t="s">
        <v>318</v>
      </c>
      <c r="G51" t="s">
        <v>319</v>
      </c>
    </row>
    <row r="52" spans="1:8">
      <c r="A52" t="s">
        <v>320</v>
      </c>
      <c r="B52">
        <v>49</v>
      </c>
      <c r="C52" t="s">
        <v>321</v>
      </c>
      <c r="D52" t="s">
        <v>320</v>
      </c>
      <c r="E52" t="s">
        <v>322</v>
      </c>
      <c r="F52">
        <v>349285</v>
      </c>
      <c r="G52" t="s">
        <v>323</v>
      </c>
      <c r="H52" t="s">
        <v>324</v>
      </c>
    </row>
    <row r="53" spans="1:8">
      <c r="A53" t="s">
        <v>325</v>
      </c>
      <c r="B53">
        <v>50</v>
      </c>
      <c r="C53" t="s">
        <v>326</v>
      </c>
      <c r="D53" t="s">
        <v>325</v>
      </c>
      <c r="E53" t="s">
        <v>327</v>
      </c>
      <c r="F53" t="s">
        <v>328</v>
      </c>
      <c r="G53" t="s">
        <v>329</v>
      </c>
    </row>
    <row r="54" spans="1:8">
      <c r="A54" t="s">
        <v>330</v>
      </c>
      <c r="B54">
        <v>51</v>
      </c>
      <c r="C54" t="s">
        <v>331</v>
      </c>
      <c r="D54" t="s">
        <v>330</v>
      </c>
      <c r="E54" t="s">
        <v>332</v>
      </c>
      <c r="F54" t="s">
        <v>333</v>
      </c>
      <c r="G54" t="s">
        <v>334</v>
      </c>
    </row>
    <row r="55" spans="1:8">
      <c r="A55" t="s">
        <v>335</v>
      </c>
      <c r="B55">
        <v>52</v>
      </c>
      <c r="C55" t="s">
        <v>336</v>
      </c>
      <c r="D55" t="s">
        <v>335</v>
      </c>
      <c r="E55" t="s">
        <v>337</v>
      </c>
      <c r="F55" t="s">
        <v>338</v>
      </c>
      <c r="G55" t="s">
        <v>339</v>
      </c>
    </row>
    <row r="56" spans="1:8">
      <c r="A56" t="s">
        <v>340</v>
      </c>
      <c r="B56">
        <v>53</v>
      </c>
      <c r="C56" t="s">
        <v>341</v>
      </c>
      <c r="D56" t="s">
        <v>340</v>
      </c>
      <c r="E56" t="s">
        <v>342</v>
      </c>
      <c r="F56" t="s">
        <v>343</v>
      </c>
      <c r="G56" t="s">
        <v>344</v>
      </c>
      <c r="H56" t="s">
        <v>345</v>
      </c>
    </row>
    <row r="57" spans="1:8">
      <c r="A57" t="s">
        <v>346</v>
      </c>
      <c r="B57">
        <v>54</v>
      </c>
      <c r="C57" t="s">
        <v>347</v>
      </c>
      <c r="D57" t="s">
        <v>346</v>
      </c>
      <c r="E57" t="s">
        <v>348</v>
      </c>
      <c r="F57" t="s">
        <v>349</v>
      </c>
      <c r="G57" t="s">
        <v>350</v>
      </c>
    </row>
    <row r="58" spans="1:8">
      <c r="A58" t="s">
        <v>351</v>
      </c>
      <c r="B58">
        <v>55</v>
      </c>
      <c r="C58" t="s">
        <v>352</v>
      </c>
      <c r="D58" t="s">
        <v>351</v>
      </c>
      <c r="E58" t="s">
        <v>353</v>
      </c>
      <c r="F58" t="s">
        <v>354</v>
      </c>
      <c r="G58" t="s">
        <v>355</v>
      </c>
    </row>
    <row r="59" spans="1:8">
      <c r="A59" t="s">
        <v>356</v>
      </c>
      <c r="B59">
        <v>56</v>
      </c>
      <c r="C59" t="s">
        <v>357</v>
      </c>
      <c r="D59" t="s">
        <v>356</v>
      </c>
      <c r="E59" t="s">
        <v>358</v>
      </c>
      <c r="F59" t="s">
        <v>359</v>
      </c>
      <c r="G59" t="s">
        <v>360</v>
      </c>
    </row>
    <row r="60" spans="1:8">
      <c r="A60" t="s">
        <v>361</v>
      </c>
      <c r="B60">
        <v>57</v>
      </c>
      <c r="C60" t="s">
        <v>362</v>
      </c>
      <c r="D60" t="s">
        <v>361</v>
      </c>
      <c r="E60" t="s">
        <v>363</v>
      </c>
      <c r="F60" t="s">
        <v>364</v>
      </c>
      <c r="G60" t="s">
        <v>365</v>
      </c>
    </row>
    <row r="61" spans="1:8">
      <c r="A61" t="s">
        <v>366</v>
      </c>
      <c r="B61">
        <v>58</v>
      </c>
      <c r="C61" t="s">
        <v>367</v>
      </c>
      <c r="D61" t="s">
        <v>366</v>
      </c>
      <c r="E61" t="s">
        <v>368</v>
      </c>
      <c r="F61" t="s">
        <v>369</v>
      </c>
      <c r="G61" t="s">
        <v>370</v>
      </c>
    </row>
    <row r="62" spans="1:8">
      <c r="A62" t="s">
        <v>371</v>
      </c>
      <c r="B62">
        <v>59</v>
      </c>
      <c r="C62" t="s">
        <v>372</v>
      </c>
      <c r="D62" t="s">
        <v>371</v>
      </c>
      <c r="E62" t="s">
        <v>373</v>
      </c>
      <c r="F62" t="s">
        <v>374</v>
      </c>
      <c r="G62" t="s">
        <v>375</v>
      </c>
    </row>
    <row r="63" spans="1:8">
      <c r="A63" t="s">
        <v>376</v>
      </c>
      <c r="B63">
        <v>60</v>
      </c>
      <c r="C63" t="s">
        <v>377</v>
      </c>
      <c r="D63" t="s">
        <v>376</v>
      </c>
      <c r="E63" t="s">
        <v>378</v>
      </c>
      <c r="F63" t="s">
        <v>379</v>
      </c>
      <c r="G63" t="s">
        <v>380</v>
      </c>
    </row>
    <row r="64" spans="1:8">
      <c r="A64" t="s">
        <v>381</v>
      </c>
      <c r="B64">
        <v>61</v>
      </c>
      <c r="C64" t="s">
        <v>382</v>
      </c>
      <c r="D64" t="s">
        <v>381</v>
      </c>
      <c r="E64" t="s">
        <v>383</v>
      </c>
      <c r="F64">
        <v>296411</v>
      </c>
      <c r="G64" t="s">
        <v>384</v>
      </c>
    </row>
    <row r="65" spans="1:9">
      <c r="A65" t="s">
        <v>385</v>
      </c>
      <c r="B65">
        <v>62</v>
      </c>
      <c r="C65" t="s">
        <v>386</v>
      </c>
      <c r="D65" t="s">
        <v>385</v>
      </c>
      <c r="E65" t="s">
        <v>387</v>
      </c>
      <c r="F65" t="s">
        <v>388</v>
      </c>
      <c r="G65" t="s">
        <v>389</v>
      </c>
    </row>
    <row r="66" spans="1:9">
      <c r="A66" t="s">
        <v>390</v>
      </c>
      <c r="B66">
        <v>63</v>
      </c>
      <c r="C66" t="s">
        <v>391</v>
      </c>
      <c r="D66" t="s">
        <v>390</v>
      </c>
      <c r="E66" t="s">
        <v>392</v>
      </c>
      <c r="F66" t="s">
        <v>393</v>
      </c>
      <c r="G66" t="s">
        <v>394</v>
      </c>
      <c r="H66" s="1">
        <v>45490</v>
      </c>
      <c r="I66">
        <v>396624</v>
      </c>
    </row>
    <row r="67" spans="1:9" ht="21.6" customHeight="1">
      <c r="A67" s="28" t="s">
        <v>395</v>
      </c>
      <c r="B67">
        <v>64</v>
      </c>
      <c r="C67" t="s">
        <v>396</v>
      </c>
      <c r="D67" s="28" t="s">
        <v>395</v>
      </c>
      <c r="E67" s="28" t="s">
        <v>397</v>
      </c>
      <c r="F67" s="28" t="s">
        <v>398</v>
      </c>
      <c r="G67" s="28" t="s">
        <v>399</v>
      </c>
      <c r="H67" s="26"/>
      <c r="I67" s="27">
        <v>471279</v>
      </c>
    </row>
    <row r="68" spans="1:9">
      <c r="A68" t="s">
        <v>400</v>
      </c>
      <c r="B68">
        <v>65</v>
      </c>
      <c r="C68" t="s">
        <v>401</v>
      </c>
      <c r="D68" t="s">
        <v>400</v>
      </c>
      <c r="E68" t="s">
        <v>402</v>
      </c>
      <c r="F68" t="s">
        <v>403</v>
      </c>
      <c r="G68" t="s">
        <v>404</v>
      </c>
      <c r="H68" t="s">
        <v>405</v>
      </c>
    </row>
    <row r="69" spans="1:9">
      <c r="A69" t="s">
        <v>406</v>
      </c>
      <c r="B69">
        <v>66</v>
      </c>
      <c r="C69" t="s">
        <v>407</v>
      </c>
      <c r="D69" t="s">
        <v>406</v>
      </c>
      <c r="E69" t="s">
        <v>408</v>
      </c>
      <c r="F69" t="s">
        <v>409</v>
      </c>
      <c r="G69" t="s">
        <v>410</v>
      </c>
      <c r="H69" s="1" t="s">
        <v>411</v>
      </c>
    </row>
    <row r="70" spans="1:9">
      <c r="A70" t="s">
        <v>412</v>
      </c>
      <c r="B70">
        <v>67</v>
      </c>
      <c r="C70" t="s">
        <v>413</v>
      </c>
      <c r="D70" t="s">
        <v>412</v>
      </c>
      <c r="E70" t="s">
        <v>414</v>
      </c>
      <c r="F70" t="s">
        <v>415</v>
      </c>
      <c r="G70" t="s">
        <v>416</v>
      </c>
    </row>
    <row r="71" spans="1:9">
      <c r="A71" t="s">
        <v>417</v>
      </c>
      <c r="B71">
        <v>68</v>
      </c>
      <c r="C71" t="s">
        <v>418</v>
      </c>
      <c r="D71" t="s">
        <v>417</v>
      </c>
      <c r="E71" t="s">
        <v>419</v>
      </c>
      <c r="F71" t="s">
        <v>420</v>
      </c>
      <c r="G71" t="s">
        <v>421</v>
      </c>
    </row>
    <row r="72" spans="1:9">
      <c r="A72" t="s">
        <v>422</v>
      </c>
      <c r="B72">
        <v>69</v>
      </c>
      <c r="C72" t="s">
        <v>423</v>
      </c>
      <c r="D72" t="s">
        <v>422</v>
      </c>
      <c r="E72" t="s">
        <v>424</v>
      </c>
      <c r="F72" t="s">
        <v>425</v>
      </c>
      <c r="G72" t="s">
        <v>426</v>
      </c>
      <c r="H72" t="s">
        <v>427</v>
      </c>
    </row>
    <row r="73" spans="1:9">
      <c r="A73" t="s">
        <v>428</v>
      </c>
      <c r="B73">
        <v>70</v>
      </c>
      <c r="C73" t="s">
        <v>429</v>
      </c>
      <c r="D73" t="s">
        <v>430</v>
      </c>
      <c r="E73" t="s">
        <v>431</v>
      </c>
      <c r="F73" t="s">
        <v>432</v>
      </c>
      <c r="G73" t="s">
        <v>433</v>
      </c>
      <c r="H73" t="s">
        <v>434</v>
      </c>
    </row>
    <row r="74" spans="1:9">
      <c r="A74" t="s">
        <v>435</v>
      </c>
      <c r="B74">
        <v>71</v>
      </c>
      <c r="C74" t="s">
        <v>436</v>
      </c>
      <c r="D74" t="s">
        <v>435</v>
      </c>
      <c r="E74" t="s">
        <v>437</v>
      </c>
      <c r="F74" t="s">
        <v>438</v>
      </c>
      <c r="G74" t="s">
        <v>439</v>
      </c>
      <c r="H74" s="1">
        <v>45936</v>
      </c>
    </row>
    <row r="75" spans="1:9">
      <c r="A75" t="s">
        <v>440</v>
      </c>
      <c r="B75">
        <v>72</v>
      </c>
      <c r="C75" t="s">
        <v>441</v>
      </c>
      <c r="D75" t="s">
        <v>440</v>
      </c>
      <c r="E75" t="s">
        <v>442</v>
      </c>
      <c r="F75" t="s">
        <v>443</v>
      </c>
      <c r="G75" t="s">
        <v>444</v>
      </c>
      <c r="H75" s="44">
        <v>45986</v>
      </c>
    </row>
    <row r="76" spans="1:9">
      <c r="A76" t="s">
        <v>445</v>
      </c>
      <c r="B76">
        <v>73</v>
      </c>
      <c r="C76" t="s">
        <v>446</v>
      </c>
      <c r="D76" t="s">
        <v>445</v>
      </c>
      <c r="E76" t="s">
        <v>447</v>
      </c>
      <c r="F76" t="s">
        <v>448</v>
      </c>
      <c r="G76" t="s">
        <v>449</v>
      </c>
      <c r="H76" s="44">
        <v>46086</v>
      </c>
    </row>
    <row r="77" spans="1:9">
      <c r="A77" t="s">
        <v>450</v>
      </c>
      <c r="B77">
        <v>74</v>
      </c>
      <c r="C77" t="s">
        <v>451</v>
      </c>
      <c r="D77" t="s">
        <v>450</v>
      </c>
      <c r="E77" t="s">
        <v>452</v>
      </c>
      <c r="F77" t="s">
        <v>453</v>
      </c>
      <c r="G77" t="s">
        <v>454</v>
      </c>
      <c r="H77" s="44">
        <v>46108</v>
      </c>
    </row>
    <row r="78" spans="1:9" ht="20.399999999999999" customHeight="1">
      <c r="A78" t="s">
        <v>455</v>
      </c>
      <c r="B78">
        <v>75</v>
      </c>
      <c r="C78" t="s">
        <v>456</v>
      </c>
      <c r="D78" t="s">
        <v>455</v>
      </c>
      <c r="E78" t="s">
        <v>457</v>
      </c>
      <c r="F78" t="s">
        <v>458</v>
      </c>
      <c r="G78" t="s">
        <v>459</v>
      </c>
      <c r="H78" s="55">
        <v>46119</v>
      </c>
    </row>
    <row r="79" spans="1:9">
      <c r="A79" t="s">
        <v>460</v>
      </c>
      <c r="B79">
        <v>76</v>
      </c>
      <c r="C79" t="s">
        <v>461</v>
      </c>
      <c r="D79" t="s">
        <v>460</v>
      </c>
      <c r="E79" t="s">
        <v>462</v>
      </c>
      <c r="F79" t="s">
        <v>463</v>
      </c>
      <c r="G79" t="s">
        <v>464</v>
      </c>
      <c r="H79" s="56">
        <v>46129</v>
      </c>
    </row>
    <row r="80" spans="1:9">
      <c r="A80" t="s">
        <v>465</v>
      </c>
      <c r="B80">
        <v>77</v>
      </c>
      <c r="C80" t="s">
        <v>466</v>
      </c>
      <c r="D80" t="s">
        <v>465</v>
      </c>
      <c r="E80" t="s">
        <v>467</v>
      </c>
      <c r="F80" t="s">
        <v>468</v>
      </c>
      <c r="G80" t="s">
        <v>469</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RowHeight="16.8"/>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AB34"/>
  <sheetViews>
    <sheetView workbookViewId="0">
      <selection activeCell="O14" sqref="O14"/>
    </sheetView>
  </sheetViews>
  <sheetFormatPr defaultRowHeight="16.8"/>
  <cols>
    <col min="2" max="2" width="10.3984375" style="77" bestFit="1" customWidth="1"/>
    <col min="6" max="6" width="17.69921875" style="77" bestFit="1" customWidth="1"/>
    <col min="13" max="13" width="28.69921875" style="77" bestFit="1" customWidth="1"/>
    <col min="17" max="17" width="9.796875" style="77" bestFit="1" customWidth="1"/>
    <col min="18" max="18" width="10" style="77" bestFit="1" customWidth="1"/>
    <col min="21" max="21" width="12.19921875" style="77" bestFit="1" customWidth="1"/>
    <col min="22" max="22" width="17.19921875" style="77" bestFit="1" customWidth="1"/>
    <col min="25" max="25" width="13.296875" style="77" bestFit="1" customWidth="1"/>
    <col min="26" max="26" width="14.5" style="77" bestFit="1" customWidth="1"/>
    <col min="27" max="27" width="13.3984375" style="77" bestFit="1" customWidth="1"/>
  </cols>
  <sheetData>
    <row r="2" spans="2:27">
      <c r="B2" t="s">
        <v>470</v>
      </c>
      <c r="D2">
        <v>5071</v>
      </c>
      <c r="F2" t="s">
        <v>471</v>
      </c>
      <c r="G2">
        <v>3312</v>
      </c>
      <c r="J2">
        <v>106224</v>
      </c>
      <c r="Q2">
        <v>15388</v>
      </c>
    </row>
    <row r="3" spans="2:27">
      <c r="B3" t="s">
        <v>470</v>
      </c>
      <c r="D3">
        <v>675</v>
      </c>
      <c r="F3" t="s">
        <v>472</v>
      </c>
      <c r="G3">
        <v>2457</v>
      </c>
      <c r="J3">
        <v>57051</v>
      </c>
      <c r="O3" t="s">
        <v>473</v>
      </c>
      <c r="P3">
        <v>143168</v>
      </c>
      <c r="Q3">
        <v>106101</v>
      </c>
      <c r="R3" t="s">
        <v>474</v>
      </c>
    </row>
    <row r="4" spans="2:27">
      <c r="B4" t="s">
        <v>475</v>
      </c>
      <c r="D4">
        <v>2305</v>
      </c>
      <c r="F4" t="s">
        <v>476</v>
      </c>
      <c r="G4">
        <v>1280</v>
      </c>
      <c r="J4">
        <v>210000</v>
      </c>
      <c r="M4">
        <v>98199</v>
      </c>
      <c r="O4" t="s">
        <v>477</v>
      </c>
      <c r="P4">
        <v>215831</v>
      </c>
      <c r="Q4">
        <v>39500</v>
      </c>
      <c r="R4" t="s">
        <v>478</v>
      </c>
    </row>
    <row r="5" spans="2:27">
      <c r="B5" t="s">
        <v>475</v>
      </c>
      <c r="D5">
        <v>2325</v>
      </c>
      <c r="L5" t="s">
        <v>479</v>
      </c>
      <c r="M5">
        <v>181013</v>
      </c>
      <c r="O5" t="s">
        <v>480</v>
      </c>
      <c r="P5">
        <v>262839</v>
      </c>
      <c r="Q5">
        <v>20000</v>
      </c>
      <c r="R5" t="s">
        <v>481</v>
      </c>
      <c r="Y5">
        <v>2200</v>
      </c>
    </row>
    <row r="6" spans="2:27">
      <c r="B6" t="s">
        <v>475</v>
      </c>
      <c r="D6">
        <v>2327</v>
      </c>
      <c r="J6">
        <f>SUM(J2:J5)</f>
        <v>373275</v>
      </c>
      <c r="L6" t="s">
        <v>482</v>
      </c>
      <c r="M6">
        <v>68291</v>
      </c>
      <c r="O6" t="s">
        <v>474</v>
      </c>
      <c r="P6">
        <v>675</v>
      </c>
      <c r="Q6">
        <v>91230</v>
      </c>
      <c r="Y6">
        <v>21</v>
      </c>
    </row>
    <row r="7" spans="2:27">
      <c r="B7" t="s">
        <v>475</v>
      </c>
      <c r="D7">
        <v>2301</v>
      </c>
      <c r="M7">
        <f>SUM(M4:M6)</f>
        <v>347503</v>
      </c>
      <c r="P7">
        <f>SUM(P3:P6)</f>
        <v>622513</v>
      </c>
      <c r="Q7">
        <f>SUM(Q2:Q6)</f>
        <v>272219</v>
      </c>
      <c r="R7" s="46">
        <f>P7-Q7</f>
        <v>350294</v>
      </c>
      <c r="Y7">
        <v>7.5</v>
      </c>
    </row>
    <row r="8" spans="2:27">
      <c r="B8" t="s">
        <v>475</v>
      </c>
      <c r="D8">
        <v>2298</v>
      </c>
      <c r="J8">
        <v>106101</v>
      </c>
      <c r="Y8">
        <f>Y5*Y6*Y7</f>
        <v>346500</v>
      </c>
    </row>
    <row r="9" spans="2:27">
      <c r="B9" t="s">
        <v>475</v>
      </c>
      <c r="D9">
        <v>4443</v>
      </c>
      <c r="J9">
        <v>15388</v>
      </c>
    </row>
    <row r="10" spans="2:27">
      <c r="B10" t="s">
        <v>483</v>
      </c>
      <c r="D10">
        <v>12862</v>
      </c>
      <c r="J10">
        <v>45000</v>
      </c>
    </row>
    <row r="11" spans="2:27">
      <c r="B11" t="s">
        <v>484</v>
      </c>
      <c r="D11">
        <v>17490</v>
      </c>
      <c r="M11" t="s">
        <v>485</v>
      </c>
      <c r="O11" s="48">
        <v>1731</v>
      </c>
      <c r="Q11" s="47" t="s">
        <v>486</v>
      </c>
      <c r="S11" s="47"/>
      <c r="T11" s="48">
        <v>1527</v>
      </c>
    </row>
    <row r="12" spans="2:27">
      <c r="B12" t="s">
        <v>487</v>
      </c>
      <c r="D12">
        <v>2246</v>
      </c>
      <c r="J12">
        <f>SUM(J8:J11)</f>
        <v>166489</v>
      </c>
      <c r="M12" t="s">
        <v>488</v>
      </c>
      <c r="O12">
        <v>904</v>
      </c>
      <c r="Q12" s="47" t="s">
        <v>489</v>
      </c>
      <c r="T12" s="48">
        <v>3312</v>
      </c>
    </row>
    <row r="13" spans="2:27">
      <c r="J13">
        <v>20000</v>
      </c>
      <c r="M13" t="s">
        <v>490</v>
      </c>
      <c r="O13" s="49">
        <v>13310</v>
      </c>
    </row>
    <row r="14" spans="2:27">
      <c r="B14" t="s">
        <v>470</v>
      </c>
      <c r="D14">
        <f>SUMIF($B$2:$B$12,B14,($D$2:$D$12))</f>
        <v>5746</v>
      </c>
      <c r="E14">
        <f t="array" ref="E14">SUMPRODUCT(($B$2:$B$12=B14)*($D$2:$D$12))</f>
        <v>5746</v>
      </c>
      <c r="J14">
        <v>45562</v>
      </c>
      <c r="M14" t="s">
        <v>491</v>
      </c>
      <c r="O14" s="48">
        <v>3854</v>
      </c>
    </row>
    <row r="15" spans="2:27" ht="17.399999999999999" customHeight="1" thickBot="1">
      <c r="B15" t="s">
        <v>475</v>
      </c>
      <c r="D15">
        <f>SUMIF($B$2:$B$12,B15,($D$2:$D$12))</f>
        <v>15999</v>
      </c>
      <c r="E15">
        <f t="array" ref="E15">SUMPRODUCT(($B$2:$B$12=B15)*($D$2:$D$12))</f>
        <v>15999</v>
      </c>
      <c r="J15">
        <f>SUM(J12:J14)</f>
        <v>232051</v>
      </c>
      <c r="M15" t="s">
        <v>492</v>
      </c>
      <c r="O15">
        <v>5900</v>
      </c>
      <c r="P15" t="s">
        <v>493</v>
      </c>
      <c r="Q15">
        <v>3600</v>
      </c>
    </row>
    <row r="16" spans="2:27" ht="18" customHeight="1" thickTop="1" thickBot="1">
      <c r="B16" t="s">
        <v>484</v>
      </c>
      <c r="D16">
        <f>SUMIF($B$2:$B$12,B16,($D$2:$D$12))</f>
        <v>17490</v>
      </c>
      <c r="E16">
        <f t="array" ref="E16">SUMPRODUCT(($B$2:$B$12=B16)*($D$2:$D$12))</f>
        <v>17490</v>
      </c>
      <c r="J16">
        <f>J6-J15</f>
        <v>141224</v>
      </c>
      <c r="M16" t="s">
        <v>492</v>
      </c>
      <c r="O16" s="47">
        <v>370</v>
      </c>
      <c r="Q16">
        <f>Q15*R16</f>
        <v>50400</v>
      </c>
      <c r="R16">
        <v>14</v>
      </c>
      <c r="U16" s="72">
        <v>1200000</v>
      </c>
      <c r="V16" s="70">
        <f>U16*12</f>
        <v>14400000</v>
      </c>
      <c r="Y16" t="s">
        <v>494</v>
      </c>
      <c r="Z16" t="s">
        <v>495</v>
      </c>
      <c r="AA16" t="s">
        <v>496</v>
      </c>
    </row>
    <row r="17" spans="2:28" ht="17.399999999999999" customHeight="1" thickTop="1">
      <c r="B17" t="s">
        <v>487</v>
      </c>
      <c r="D17">
        <f>SUMIF($B$2:$B$12,B17,($D$2:$D$12))</f>
        <v>2246</v>
      </c>
      <c r="E17">
        <f t="array" ref="E17">SUMPRODUCT(($B$2:$B$12=B17)*($D$2:$D$12))</f>
        <v>2246</v>
      </c>
      <c r="M17" s="47" t="s">
        <v>497</v>
      </c>
      <c r="O17" s="48">
        <v>12232</v>
      </c>
      <c r="P17" t="s">
        <v>493</v>
      </c>
      <c r="Q17">
        <f>Q16*R17</f>
        <v>403200</v>
      </c>
      <c r="R17">
        <v>8</v>
      </c>
      <c r="U17" s="70">
        <f>U16*V17</f>
        <v>1080000</v>
      </c>
      <c r="V17">
        <v>0.9</v>
      </c>
      <c r="W17" t="s">
        <v>498</v>
      </c>
      <c r="Y17">
        <v>430000</v>
      </c>
    </row>
    <row r="18" spans="2:28">
      <c r="D18">
        <f>SUM(D14:D17)</f>
        <v>41481</v>
      </c>
      <c r="E18">
        <f>SUM(E14:E17)</f>
        <v>41481</v>
      </c>
      <c r="M18" s="47" t="s">
        <v>499</v>
      </c>
      <c r="O18">
        <v>880</v>
      </c>
      <c r="P18" t="s">
        <v>500</v>
      </c>
      <c r="Q18">
        <f>Q17*12</f>
        <v>4838400</v>
      </c>
      <c r="U18" s="70">
        <f>U17/V18</f>
        <v>51428.571428571428</v>
      </c>
      <c r="V18" s="24">
        <v>21</v>
      </c>
      <c r="Y18" s="70">
        <f>U17*12-Y17</f>
        <v>12530000</v>
      </c>
      <c r="AA18" s="70">
        <f>U17*12</f>
        <v>12960000</v>
      </c>
    </row>
    <row r="19" spans="2:28">
      <c r="M19" s="47" t="s">
        <v>501</v>
      </c>
      <c r="O19">
        <v>2189</v>
      </c>
      <c r="Q19">
        <v>4040000</v>
      </c>
      <c r="U19" s="70">
        <f>U18/V19</f>
        <v>6857.1428571428569</v>
      </c>
      <c r="V19" s="71">
        <v>7.5</v>
      </c>
      <c r="W19" t="s">
        <v>502</v>
      </c>
      <c r="X19">
        <v>7.3899999999999993E-2</v>
      </c>
      <c r="Y19" s="70">
        <f>Y18*X19</f>
        <v>925966.99999999988</v>
      </c>
      <c r="Z19" s="70">
        <v>17010</v>
      </c>
      <c r="AA19" s="70">
        <v>430000</v>
      </c>
    </row>
    <row r="20" spans="2:28">
      <c r="B20" t="s">
        <v>503</v>
      </c>
      <c r="D20" s="45">
        <v>10</v>
      </c>
      <c r="M20" s="47" t="s">
        <v>504</v>
      </c>
      <c r="Q20" s="67">
        <f>(Q18-Q19)/12</f>
        <v>66533.333333333328</v>
      </c>
      <c r="U20" s="70"/>
      <c r="W20" t="s">
        <v>505</v>
      </c>
      <c r="X20">
        <v>2.4500000000000001E-2</v>
      </c>
      <c r="Y20" s="70">
        <f>Y18*X20</f>
        <v>306985</v>
      </c>
      <c r="Z20" s="74">
        <v>12</v>
      </c>
      <c r="AA20" s="70">
        <v>981000</v>
      </c>
    </row>
    <row r="21" spans="2:28">
      <c r="M21" s="47" t="s">
        <v>506</v>
      </c>
      <c r="O21" s="48">
        <v>1581</v>
      </c>
      <c r="W21" t="s">
        <v>507</v>
      </c>
      <c r="X21">
        <v>2.3300000000000001E-2</v>
      </c>
      <c r="Y21" s="73">
        <f>Y18*X21</f>
        <v>291949</v>
      </c>
      <c r="AA21" s="70">
        <f>AA18-AA19-AA20-Y22-Z22</f>
        <v>9819979</v>
      </c>
    </row>
    <row r="22" spans="2:28">
      <c r="M22" s="47" t="s">
        <v>508</v>
      </c>
      <c r="O22" s="47">
        <v>385</v>
      </c>
      <c r="Y22" s="70">
        <f>SUM(Y19:Y21)</f>
        <v>1524901</v>
      </c>
      <c r="Z22" s="70">
        <f>Z19*Z20</f>
        <v>204120</v>
      </c>
      <c r="AA22" s="70">
        <f>AA21*AB22</f>
        <v>981997.9</v>
      </c>
      <c r="AB22" s="75">
        <v>0.1</v>
      </c>
    </row>
    <row r="23" spans="2:28">
      <c r="M23" s="47" t="s">
        <v>509</v>
      </c>
      <c r="O23" s="48">
        <v>1397</v>
      </c>
      <c r="V23" t="s">
        <v>510</v>
      </c>
    </row>
    <row r="24" spans="2:28">
      <c r="M24" s="47" t="s">
        <v>486</v>
      </c>
      <c r="O24" s="48">
        <v>1527</v>
      </c>
      <c r="P24" s="48"/>
      <c r="Y24" t="s">
        <v>511</v>
      </c>
      <c r="Z24" s="76">
        <f>SUM(Y22:AA22)</f>
        <v>2711018.9</v>
      </c>
      <c r="AA24" t="s">
        <v>512</v>
      </c>
    </row>
    <row r="25" spans="2:28">
      <c r="M25" s="47" t="s">
        <v>489</v>
      </c>
      <c r="O25" s="48">
        <v>3312</v>
      </c>
      <c r="P25" s="48"/>
      <c r="Y25" t="s">
        <v>513</v>
      </c>
      <c r="Z25" s="70">
        <f>Y18-Z24</f>
        <v>9818981.0999999996</v>
      </c>
      <c r="AA25" s="70">
        <f>Z25/12</f>
        <v>818248.42499999993</v>
      </c>
    </row>
    <row r="26" spans="2:28">
      <c r="M26" s="47" t="s">
        <v>514</v>
      </c>
      <c r="O26" s="48">
        <v>2180</v>
      </c>
    </row>
    <row r="27" spans="2:28">
      <c r="M27" s="47" t="s">
        <v>515</v>
      </c>
      <c r="O27" s="48">
        <v>84962</v>
      </c>
    </row>
    <row r="28" spans="2:28">
      <c r="O28" s="48"/>
    </row>
    <row r="29" spans="2:28">
      <c r="O29" s="48"/>
    </row>
    <row r="30" spans="2:28">
      <c r="O30" s="49"/>
    </row>
    <row r="32" spans="2:28">
      <c r="O32">
        <f>P7-J2-J3-J4</f>
        <v>249238</v>
      </c>
    </row>
    <row r="33" spans="15:16">
      <c r="O33" s="49"/>
    </row>
    <row r="34" spans="15:16">
      <c r="P34" s="49"/>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2:K44"/>
  <sheetViews>
    <sheetView workbookViewId="0">
      <selection activeCell="I23" sqref="I23"/>
    </sheetView>
  </sheetViews>
  <sheetFormatPr defaultRowHeight="18"/>
  <cols>
    <col min="1" max="1" width="8.796875" style="57" customWidth="1"/>
    <col min="2" max="2" width="12.19921875" style="57" bestFit="1" customWidth="1"/>
    <col min="3" max="3" width="8.796875" style="57" customWidth="1"/>
    <col min="4" max="16384" width="8.796875" style="57"/>
  </cols>
  <sheetData>
    <row r="2" spans="2:10">
      <c r="B2" s="63" t="str">
        <f>貼付!C10</f>
        <v>稲井　佳暢 様</v>
      </c>
    </row>
    <row r="3" spans="2:10">
      <c r="B3" s="63"/>
    </row>
    <row r="4" spans="2:10">
      <c r="B4" s="64" t="s">
        <v>36</v>
      </c>
    </row>
    <row r="5" spans="2:10">
      <c r="B5" s="64" t="s">
        <v>516</v>
      </c>
    </row>
    <row r="6" spans="2:10">
      <c r="B6" s="68" t="s">
        <v>517</v>
      </c>
    </row>
    <row r="7" spans="2:10">
      <c r="B7" s="58"/>
    </row>
    <row r="8" spans="2:10">
      <c r="B8" s="69" t="s">
        <v>518</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受取開始日本日2026年7月16日（木）受取可能です。(都合の良い時システム室で受取)</v>
      </c>
    </row>
    <row r="11" spans="2:10">
      <c r="B11" s="59"/>
    </row>
    <row r="12" spans="2:10">
      <c r="B12" s="60" t="s">
        <v>519</v>
      </c>
      <c r="J12" s="51" t="s">
        <v>520</v>
      </c>
    </row>
    <row r="13" spans="2:10">
      <c r="B13" s="59"/>
    </row>
    <row r="14" spans="2:10">
      <c r="B14" s="51" t="s">
        <v>521</v>
      </c>
      <c r="E14" s="64" t="s">
        <v>522</v>
      </c>
    </row>
    <row r="15" spans="2:10">
      <c r="B15" s="59"/>
    </row>
    <row r="16" spans="2:10">
      <c r="B16" s="59"/>
    </row>
    <row r="17" spans="2:11">
      <c r="B17" s="59"/>
    </row>
    <row r="18" spans="2:11">
      <c r="B18" s="69" t="s">
        <v>523</v>
      </c>
    </row>
    <row r="19" spans="2:11">
      <c r="B19" s="59"/>
    </row>
    <row r="20" spans="2:11">
      <c r="B20" s="60" t="s">
        <v>524</v>
      </c>
      <c r="I20" s="51" t="s">
        <v>525</v>
      </c>
      <c r="J20" s="51" t="s">
        <v>526</v>
      </c>
      <c r="K20" s="51"/>
    </row>
    <row r="21" spans="2:11">
      <c r="B21" s="60"/>
      <c r="I21" s="51"/>
      <c r="J21" s="51"/>
      <c r="K21" s="51"/>
    </row>
    <row r="22" spans="2:11">
      <c r="B22" s="60"/>
      <c r="I22" s="68" t="s">
        <v>527</v>
      </c>
    </row>
    <row r="23" spans="2:11">
      <c r="B23" s="58"/>
    </row>
    <row r="24" spans="2:11">
      <c r="B24" s="65" t="s">
        <v>528</v>
      </c>
    </row>
    <row r="25" spans="2:11">
      <c r="B25" s="59"/>
    </row>
    <row r="26" spans="2:11">
      <c r="B26" s="60" t="str">
        <f>"回収対象機： "&amp;貼付!G13</f>
        <v>回収対象機： OK04-A1-PC0</v>
      </c>
    </row>
    <row r="27" spans="2:11">
      <c r="B27" s="59"/>
    </row>
    <row r="28" spans="2:11">
      <c r="B28" s="60" t="str">
        <f ca="1">"回収期限： "&amp;貼付!C12&amp;"年"&amp;貼付!D12&amp;"月"&amp;貼付!E11&amp;"日("&amp;貼付!G12&amp;")"</f>
        <v>回収期限： 2026年7月16日(木)</v>
      </c>
    </row>
    <row r="29" spans="2:11">
      <c r="B29" s="59"/>
    </row>
    <row r="30" spans="2:11">
      <c r="B30" s="60" t="s">
        <v>529</v>
      </c>
    </row>
    <row r="31" spans="2:11">
      <c r="B31" s="59"/>
    </row>
    <row r="32" spans="2:11">
      <c r="B32" s="60" t="s">
        <v>530</v>
      </c>
    </row>
    <row r="33" spans="2:2">
      <c r="B33" s="62"/>
    </row>
    <row r="34" spans="2:2">
      <c r="B34" s="62" t="s">
        <v>531</v>
      </c>
    </row>
    <row r="35" spans="2:2">
      <c r="B35" s="62"/>
    </row>
    <row r="36" spans="2:2">
      <c r="B36" s="62" t="s">
        <v>532</v>
      </c>
    </row>
    <row r="37" spans="2:2">
      <c r="B37" s="62"/>
    </row>
    <row r="38" spans="2:2">
      <c r="B38" s="62" t="s">
        <v>533</v>
      </c>
    </row>
    <row r="39" spans="2:2">
      <c r="B39" s="58"/>
    </row>
    <row r="40" spans="2:2">
      <c r="B40" s="65" t="s">
        <v>534</v>
      </c>
    </row>
    <row r="41" spans="2:2">
      <c r="B41" s="58" t="s">
        <v>535</v>
      </c>
    </row>
    <row r="42" spans="2:2">
      <c r="B42" s="58" t="s">
        <v>536</v>
      </c>
    </row>
    <row r="43" spans="2:2">
      <c r="B43" s="58"/>
    </row>
    <row r="44" spans="2:2" ht="39" customHeight="1">
      <c r="B44" s="61"/>
    </row>
  </sheetData>
  <phoneticPr fontId="6"/>
  <hyperlinks>
    <hyperlink ref="J12" r:id="rId1" xr:uid="{00000000-0004-0000-0500-000000000000}"/>
    <hyperlink ref="B14" r:id="rId2" display="初期設定：DMS手順" xr:uid="{00000000-0004-0000-0500-000001000000}"/>
    <hyperlink ref="I20" r:id="rId3" xr:uid="{00000000-0004-0000-0500-000002000000}"/>
    <hyperlink ref="J20" r:id="rId4" xr:uid="{00000000-0004-0000-0500-000003000000}"/>
  </hyperlinks>
  <pageMargins left="0.7" right="0.7" top="0.75" bottom="0.75" header="0.3" footer="0.3"/>
  <pageSetup paperSize="9" scale="69"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50"/>
  <sheetViews>
    <sheetView tabSelected="1" topLeftCell="A25" workbookViewId="0">
      <selection activeCell="B31" sqref="B31"/>
    </sheetView>
  </sheetViews>
  <sheetFormatPr defaultRowHeight="16.8"/>
  <cols>
    <col min="2" max="2" width="12.19921875" style="77" customWidth="1"/>
  </cols>
  <sheetData>
    <row r="2" spans="2:2">
      <c r="B2" s="78" t="s">
        <v>537</v>
      </c>
    </row>
    <row r="3" spans="2:2">
      <c r="B3" s="78"/>
    </row>
    <row r="4" spans="2:2">
      <c r="B4" s="78" t="s">
        <v>36</v>
      </c>
    </row>
    <row r="5" spans="2:2">
      <c r="B5" s="78" t="s">
        <v>538</v>
      </c>
    </row>
    <row r="6" spans="2:2">
      <c r="B6" s="78" t="s">
        <v>539</v>
      </c>
    </row>
    <row r="7" spans="2:2">
      <c r="B7" s="78"/>
    </row>
    <row r="8" spans="2:2">
      <c r="B8" s="78" t="s">
        <v>540</v>
      </c>
    </row>
    <row r="9" spans="2:2">
      <c r="B9" s="78"/>
    </row>
    <row r="10" spans="2:2">
      <c r="B10" s="78" t="s">
        <v>541</v>
      </c>
    </row>
    <row r="11" spans="2:2">
      <c r="B11" s="78" t="s">
        <v>542</v>
      </c>
    </row>
    <row r="12" spans="2:2">
      <c r="B12" s="78" t="s">
        <v>543</v>
      </c>
    </row>
    <row r="13" spans="2:2">
      <c r="B13" s="78" t="s">
        <v>542</v>
      </c>
    </row>
    <row r="14" spans="2:2">
      <c r="B14" s="78" t="s">
        <v>544</v>
      </c>
    </row>
    <row r="15" spans="2:2">
      <c r="B15" s="78"/>
    </row>
    <row r="16" spans="2:2">
      <c r="B16" s="78" t="s">
        <v>545</v>
      </c>
    </row>
    <row r="17" spans="2:2">
      <c r="B17" s="78"/>
    </row>
    <row r="18" spans="2:2">
      <c r="B18" s="78" t="s">
        <v>546</v>
      </c>
    </row>
    <row r="19" spans="2:2">
      <c r="B19" s="78" t="s">
        <v>547</v>
      </c>
    </row>
    <row r="20" spans="2:2">
      <c r="B20" s="78" t="s">
        <v>546</v>
      </c>
    </row>
    <row r="21" spans="2:2">
      <c r="B21" s="78" t="s">
        <v>548</v>
      </c>
    </row>
    <row r="22" spans="2:2">
      <c r="B22" s="78" t="s">
        <v>549</v>
      </c>
    </row>
    <row r="23" spans="2:2">
      <c r="B23" s="78" t="s">
        <v>550</v>
      </c>
    </row>
    <row r="24" spans="2:2">
      <c r="B24" s="78"/>
    </row>
    <row r="25" spans="2:2">
      <c r="B25" s="78" t="s">
        <v>546</v>
      </c>
    </row>
    <row r="26" spans="2:2">
      <c r="B26" s="78" t="s">
        <v>551</v>
      </c>
    </row>
    <row r="27" spans="2:2">
      <c r="B27" s="78" t="s">
        <v>546</v>
      </c>
    </row>
    <row r="28" spans="2:2">
      <c r="B28" s="78" t="s">
        <v>552</v>
      </c>
    </row>
    <row r="29" spans="2:2">
      <c r="B29" s="78" t="s">
        <v>553</v>
      </c>
    </row>
    <row r="30" spans="2:2">
      <c r="B30" s="78" t="s">
        <v>554</v>
      </c>
    </row>
    <row r="31" spans="2:2">
      <c r="B31" s="78" t="s">
        <v>555</v>
      </c>
    </row>
    <row r="32" spans="2:2">
      <c r="B32" s="78"/>
    </row>
    <row r="33" spans="2:2">
      <c r="B33" s="78" t="s">
        <v>546</v>
      </c>
    </row>
    <row r="34" spans="2:2">
      <c r="B34" s="78" t="s">
        <v>556</v>
      </c>
    </row>
    <row r="35" spans="2:2">
      <c r="B35" s="78" t="s">
        <v>546</v>
      </c>
    </row>
    <row r="36" spans="2:2">
      <c r="B36" s="78" t="s">
        <v>557</v>
      </c>
    </row>
    <row r="37" spans="2:2">
      <c r="B37" s="78" t="s">
        <v>558</v>
      </c>
    </row>
    <row r="38" spans="2:2">
      <c r="B38" s="78" t="s">
        <v>559</v>
      </c>
    </row>
    <row r="39" spans="2:2">
      <c r="B39" s="78" t="s">
        <v>560</v>
      </c>
    </row>
    <row r="40" spans="2:2">
      <c r="B40" s="78" t="s">
        <v>561</v>
      </c>
    </row>
    <row r="41" spans="2:2">
      <c r="B41" s="78" t="s">
        <v>562</v>
      </c>
    </row>
    <row r="42" spans="2:2">
      <c r="B42" s="78" t="s">
        <v>563</v>
      </c>
    </row>
    <row r="43" spans="2:2">
      <c r="B43" s="78"/>
    </row>
    <row r="44" spans="2:2">
      <c r="B44" s="78" t="s">
        <v>546</v>
      </c>
    </row>
    <row r="45" spans="2:2">
      <c r="B45" s="78" t="s">
        <v>564</v>
      </c>
    </row>
    <row r="46" spans="2:2">
      <c r="B46" s="78" t="s">
        <v>546</v>
      </c>
    </row>
    <row r="47" spans="2:2">
      <c r="B47" s="78" t="s">
        <v>565</v>
      </c>
    </row>
    <row r="48" spans="2:2">
      <c r="B48" s="78" t="s">
        <v>566</v>
      </c>
    </row>
    <row r="49" spans="2:2">
      <c r="B49" s="78"/>
    </row>
    <row r="50" spans="2:2">
      <c r="B50" s="78" t="s">
        <v>536</v>
      </c>
    </row>
  </sheetData>
  <phoneticPr fontId="6"/>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貼付</vt:lpstr>
      <vt:lpstr>Sheet1</vt:lpstr>
      <vt:lpstr>社員名</vt:lpstr>
      <vt:lpstr>Sheet3</vt:lpstr>
      <vt:lpstr>Sheet4</vt:lpstr>
      <vt:lpstr>Sheet1 (2)</vt:lpstr>
      <vt:lpstr>PC受渡し案内(ロードマップ)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kiyonoe</dc:creator>
  <cp:lastModifiedBy>MAE前田 卓大</cp:lastModifiedBy>
  <cp:lastPrinted>2026-06-17T05:49:21Z</cp:lastPrinted>
  <dcterms:created xsi:type="dcterms:W3CDTF">2023-12-05T23:22:45Z</dcterms:created>
  <dcterms:modified xsi:type="dcterms:W3CDTF">2026-07-16T06:59:43Z</dcterms:modified>
</cp:coreProperties>
</file>